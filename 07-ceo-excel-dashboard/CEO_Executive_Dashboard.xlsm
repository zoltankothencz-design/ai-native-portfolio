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Ex1.xml" ContentType="application/vnd.ms-office.chartex+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tables/table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hidePivotFieldList="1" defaultThemeVersion="166925"/>
  <mc:AlternateContent xmlns:mc="http://schemas.openxmlformats.org/markup-compatibility/2006">
    <mc:Choice Requires="x15">
      <x15ac:absPath xmlns:x15ac="http://schemas.microsoft.com/office/spreadsheetml/2010/11/ac" url="C:\Projektek\EXCEL\"/>
    </mc:Choice>
  </mc:AlternateContent>
  <xr:revisionPtr revIDLastSave="0" documentId="13_ncr:1_{256FEF1E-6BF9-40DD-9CBC-3EE55A0BD370}" xr6:coauthVersionLast="47" xr6:coauthVersionMax="47" xr10:uidLastSave="{00000000-0000-0000-0000-000000000000}"/>
  <bookViews>
    <workbookView xWindow="-108" yWindow="-108" windowWidth="23256" windowHeight="13896" xr2:uid="{CFE609DC-7037-4CC1-AC22-B84AF58B0CDE}"/>
  </bookViews>
  <sheets>
    <sheet name="Dashboard" sheetId="5" r:id="rId1"/>
    <sheet name="Bottlenecks" sheetId="6" r:id="rId2"/>
    <sheet name="Data" sheetId="1" r:id="rId3"/>
    <sheet name="SlaTrend" sheetId="2" state="hidden" r:id="rId4"/>
    <sheet name="Discrepancies" sheetId="3" state="hidden" r:id="rId5"/>
    <sheet name="Pivots" sheetId="4" state="hidden" r:id="rId6"/>
  </sheets>
  <functionGroups builtInGroupCount="19"/>
  <definedNames>
    <definedName name="_xlchart.v5.0" hidden="1">Pivots!$AN$2</definedName>
    <definedName name="_xlchart.v5.1" hidden="1">Pivots!$AN$3:$AN$26</definedName>
    <definedName name="_xlchart.v5.2" hidden="1">Pivots!$AO$2</definedName>
    <definedName name="_xlchart.v5.3" hidden="1">Pivots!$AO$3:$AO$26</definedName>
    <definedName name="Slicer_AgeBucket">#N/A</definedName>
    <definedName name="Slicer_Gender">#N/A</definedName>
    <definedName name="Slicer_PayBand">#N/A</definedName>
    <definedName name="Slicer_State">#N/A</definedName>
    <definedName name="Slicer_TenureBucket">#N/A</definedName>
    <definedName name="Slicer_Vendor">#N/A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I12" i="5" l="1"/>
  <c r="BI11" i="5"/>
  <c r="BI10" i="5"/>
  <c r="BH5" i="5"/>
  <c r="BH3" i="5"/>
  <c r="BH2" i="5"/>
  <c r="BH1" i="5"/>
  <c r="D13" i="2"/>
  <c r="C13" i="2"/>
  <c r="BH4" i="5" s="1"/>
  <c r="D12" i="2"/>
  <c r="C12" i="2"/>
  <c r="D11" i="2"/>
  <c r="C11" i="2"/>
  <c r="D10" i="2"/>
  <c r="C10" i="2"/>
  <c r="D9" i="2"/>
  <c r="C9" i="2"/>
  <c r="D8" i="2"/>
  <c r="C8" i="2"/>
  <c r="D7" i="2"/>
  <c r="C7" i="2"/>
  <c r="D6" i="2"/>
  <c r="C6" i="2"/>
  <c r="D5" i="2"/>
  <c r="C5" i="2"/>
  <c r="D4" i="2"/>
  <c r="C4" i="2"/>
  <c r="D3" i="2"/>
  <c r="C3" i="2"/>
  <c r="D2" i="2"/>
  <c r="C2" i="2"/>
  <c r="AO23" i="4"/>
  <c r="AO20" i="4"/>
  <c r="AO22" i="4"/>
  <c r="AO6" i="4"/>
  <c r="AO9" i="4"/>
  <c r="AO21" i="4"/>
  <c r="AO5" i="4"/>
  <c r="AO14" i="4"/>
  <c r="AO15" i="4"/>
  <c r="AO16" i="4"/>
  <c r="AO12" i="4"/>
  <c r="AO7" i="4"/>
  <c r="AO26" i="4"/>
  <c r="AO3" i="4"/>
  <c r="AO24" i="4"/>
  <c r="AO19" i="4"/>
  <c r="AO8" i="4"/>
  <c r="AO18" i="4"/>
  <c r="AO4" i="4"/>
  <c r="AO11" i="4"/>
  <c r="AO13" i="4"/>
  <c r="AO10" i="4"/>
  <c r="AO17" i="4"/>
  <c r="AO25" i="4"/>
</calcChain>
</file>

<file path=xl/sharedStrings.xml><?xml version="1.0" encoding="utf-8"?>
<sst xmlns="http://schemas.openxmlformats.org/spreadsheetml/2006/main" count="1654" uniqueCount="320">
  <si>
    <t>Id</t>
  </si>
  <si>
    <t>Name</t>
  </si>
  <si>
    <t>Vendor</t>
  </si>
  <si>
    <t>VMS</t>
  </si>
  <si>
    <t>State</t>
  </si>
  <si>
    <t>Age</t>
  </si>
  <si>
    <t>AgeBucket</t>
  </si>
  <si>
    <t>Gender</t>
  </si>
  <si>
    <t>PayBand</t>
  </si>
  <si>
    <t>Status</t>
  </si>
  <si>
    <t>EndDate</t>
  </si>
  <si>
    <t>DaysUntilExpiration</t>
  </si>
  <si>
    <t>ExtensionStatus</t>
  </si>
  <si>
    <t>RequestReceived</t>
  </si>
  <si>
    <t>AdCreated</t>
  </si>
  <si>
    <t>AccessGranted</t>
  </si>
  <si>
    <t>GoLive</t>
  </si>
  <si>
    <t>Stage1Days</t>
  </si>
  <si>
    <t>Stage2Days</t>
  </si>
  <si>
    <t>Stage3Days</t>
  </si>
  <si>
    <t>OnboardingDays</t>
  </si>
  <si>
    <t>TenureMonths</t>
  </si>
  <si>
    <t>TenureBucket</t>
  </si>
  <si>
    <t>SystemAStatus</t>
  </si>
  <si>
    <t>SystemBStatus</t>
  </si>
  <si>
    <t>DiscrepancyType</t>
  </si>
  <si>
    <t>FlaggedDate</t>
  </si>
  <si>
    <t>IsActiveFlag</t>
  </si>
  <si>
    <t>IsExpiring30Flag</t>
  </si>
  <si>
    <t>ExpiringSoonFlag</t>
  </si>
  <si>
    <t>DiscrepancyFlag</t>
  </si>
  <si>
    <t>StateName</t>
  </si>
  <si>
    <t>MetricModifier</t>
  </si>
  <si>
    <t>c-0</t>
  </si>
  <si>
    <t>Insight Global</t>
  </si>
  <si>
    <t>Beeline</t>
  </si>
  <si>
    <t>NY</t>
  </si>
  <si>
    <t>30-39</t>
  </si>
  <si>
    <t>Male</t>
  </si>
  <si>
    <t>$80K-100K</t>
  </si>
  <si>
    <t>Active</t>
  </si>
  <si>
    <t>Not Required</t>
  </si>
  <si>
    <t>6-12 mo</t>
  </si>
  <si>
    <t>Pending Offboard</t>
  </si>
  <si>
    <t>Termination Lag</t>
  </si>
  <si>
    <t>New York</t>
  </si>
  <si>
    <t>c-1</t>
  </si>
  <si>
    <t>TEKsystems</t>
  </si>
  <si>
    <t>SAP Fieldglass</t>
  </si>
  <si>
    <t>CA</t>
  </si>
  <si>
    <t>40-49</t>
  </si>
  <si>
    <t>Female</t>
  </si>
  <si>
    <t>1-2 yr</t>
  </si>
  <si>
    <t>California</t>
  </si>
  <si>
    <t>c-2</t>
  </si>
  <si>
    <t>AZ</t>
  </si>
  <si>
    <t>20-29</t>
  </si>
  <si>
    <t>$100K-125K</t>
  </si>
  <si>
    <t>Not Started</t>
  </si>
  <si>
    <t>Arizona</t>
  </si>
  <si>
    <t>c-3</t>
  </si>
  <si>
    <t>Kelly OCG</t>
  </si>
  <si>
    <t>IL</t>
  </si>
  <si>
    <t>&lt; 3 mo</t>
  </si>
  <si>
    <t>Illinois</t>
  </si>
  <si>
    <t>c-4</t>
  </si>
  <si>
    <t>Robert Half Technology</t>
  </si>
  <si>
    <t>TN</t>
  </si>
  <si>
    <t>60+</t>
  </si>
  <si>
    <t>Tennessee</t>
  </si>
  <si>
    <t>c-5</t>
  </si>
  <si>
    <t>ManpowerGroup</t>
  </si>
  <si>
    <t>PA</t>
  </si>
  <si>
    <t>$125K-150K</t>
  </si>
  <si>
    <t>In Process</t>
  </si>
  <si>
    <t>3-6 mo</t>
  </si>
  <si>
    <t>Pennsylvania</t>
  </si>
  <si>
    <t>c-6</t>
  </si>
  <si>
    <t>Yoh Managed Solutions</t>
  </si>
  <si>
    <t>MA</t>
  </si>
  <si>
    <t>Massachusetts</t>
  </si>
  <si>
    <t>c-7</t>
  </si>
  <si>
    <t>IN</t>
  </si>
  <si>
    <t>Indiana</t>
  </si>
  <si>
    <t>c-8</t>
  </si>
  <si>
    <t>$60K-80K</t>
  </si>
  <si>
    <t>Active (Duplicate)</t>
  </si>
  <si>
    <t>Duplicate Active Record</t>
  </si>
  <si>
    <t>c-9</t>
  </si>
  <si>
    <t>NJ</t>
  </si>
  <si>
    <t>No Record Found</t>
  </si>
  <si>
    <t>Missing VMS Record</t>
  </si>
  <si>
    <t>New Jersey</t>
  </si>
  <si>
    <t>c-10</t>
  </si>
  <si>
    <t>c-11</t>
  </si>
  <si>
    <t>c-12</t>
  </si>
  <si>
    <t>MO</t>
  </si>
  <si>
    <t>Missouri</t>
  </si>
  <si>
    <t>c-13</t>
  </si>
  <si>
    <t>Randstad Technologies</t>
  </si>
  <si>
    <t>CT</t>
  </si>
  <si>
    <t>50-59</t>
  </si>
  <si>
    <t>Connecticut</t>
  </si>
  <si>
    <t>c-14</t>
  </si>
  <si>
    <t>TX</t>
  </si>
  <si>
    <t>Texas</t>
  </si>
  <si>
    <t>c-15</t>
  </si>
  <si>
    <t>c-16</t>
  </si>
  <si>
    <t>c-17</t>
  </si>
  <si>
    <t>$150K+</t>
  </si>
  <si>
    <t>c-18</t>
  </si>
  <si>
    <t>MD</t>
  </si>
  <si>
    <t>Maryland</t>
  </si>
  <si>
    <t>c-19</t>
  </si>
  <si>
    <t>c-20</t>
  </si>
  <si>
    <t>FL</t>
  </si>
  <si>
    <t>Florida</t>
  </si>
  <si>
    <t>c-21</t>
  </si>
  <si>
    <t>c-22</t>
  </si>
  <si>
    <t>Apex Systems</t>
  </si>
  <si>
    <t>WA</t>
  </si>
  <si>
    <t>Washington</t>
  </si>
  <si>
    <t>c-23</t>
  </si>
  <si>
    <t>c-24</t>
  </si>
  <si>
    <t>c-25</t>
  </si>
  <si>
    <t>c-26</t>
  </si>
  <si>
    <t>c-27</t>
  </si>
  <si>
    <t>c-28</t>
  </si>
  <si>
    <t>c-29</t>
  </si>
  <si>
    <t>c-30</t>
  </si>
  <si>
    <t>c-31</t>
  </si>
  <si>
    <t>c-32</t>
  </si>
  <si>
    <t>c-33</t>
  </si>
  <si>
    <t>NC</t>
  </si>
  <si>
    <t>North Carolina</t>
  </si>
  <si>
    <t>c-34</t>
  </si>
  <si>
    <t>c-35</t>
  </si>
  <si>
    <t>c-36</t>
  </si>
  <si>
    <t>c-37</t>
  </si>
  <si>
    <t>c-38</t>
  </si>
  <si>
    <t>c-39</t>
  </si>
  <si>
    <t>c-40</t>
  </si>
  <si>
    <t>MI</t>
  </si>
  <si>
    <t>Michigan</t>
  </si>
  <si>
    <t>c-41</t>
  </si>
  <si>
    <t>MN</t>
  </si>
  <si>
    <t>Terminated</t>
  </si>
  <si>
    <t>Minnesota</t>
  </si>
  <si>
    <t>c-42</t>
  </si>
  <si>
    <t>c-43</t>
  </si>
  <si>
    <t>WI</t>
  </si>
  <si>
    <t>Wisconsin</t>
  </si>
  <si>
    <t>c-44</t>
  </si>
  <si>
    <t>c-45</t>
  </si>
  <si>
    <t>c-46</t>
  </si>
  <si>
    <t>Active - Ends okt. 26, 2027</t>
  </si>
  <si>
    <t>Active - Ends nov. 23, 2027</t>
  </si>
  <si>
    <t>End Date Conflict</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</si>
  <si>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</si>
  <si>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</si>
  <si>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</si>
  <si>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</si>
  <si>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</si>
  <si>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</si>
  <si>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</si>
  <si>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</si>
  <si>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</si>
  <si>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</si>
  <si>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</si>
  <si>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</si>
  <si>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</si>
  <si>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</si>
  <si>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</si>
  <si>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</si>
  <si>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</si>
  <si>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</si>
  <si>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</si>
  <si>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</si>
  <si>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</si>
  <si>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</si>
  <si>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</si>
  <si>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</si>
  <si>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</si>
  <si>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Status Mismatch</t>
  </si>
  <si>
    <t>c-72</t>
  </si>
  <si>
    <t>GA</t>
  </si>
  <si>
    <t>Georgia</t>
  </si>
  <si>
    <t>c-73</t>
  </si>
  <si>
    <t>c-74</t>
  </si>
  <si>
    <t>c-75</t>
  </si>
  <si>
    <t>VA</t>
  </si>
  <si>
    <t>Virginia</t>
  </si>
  <si>
    <t>c-76</t>
  </si>
  <si>
    <t>c-77</t>
  </si>
  <si>
    <t>MonthDate</t>
  </si>
  <si>
    <t>Label</t>
  </si>
  <si>
    <t>SlaPct</t>
  </si>
  <si>
    <t>TurnoverPct</t>
  </si>
  <si>
    <t>BaseSla</t>
  </si>
  <si>
    <t>BaseTurnover</t>
  </si>
  <si>
    <t>okt. 25</t>
  </si>
  <si>
    <t>nov. 25</t>
  </si>
  <si>
    <t>dec. 25</t>
  </si>
  <si>
    <t>jan. 26</t>
  </si>
  <si>
    <t>febr. 26</t>
  </si>
  <si>
    <t>márc. 26</t>
  </si>
  <si>
    <t>ápr. 26</t>
  </si>
  <si>
    <t>máj. 26</t>
  </si>
  <si>
    <t>jún. 26</t>
  </si>
  <si>
    <t>júl. 26</t>
  </si>
  <si>
    <t>aug. 26</t>
  </si>
  <si>
    <t>szept. 26</t>
  </si>
  <si>
    <t>Contractor</t>
  </si>
  <si>
    <t>Discrepancy Type</t>
  </si>
  <si>
    <t>System A Status</t>
  </si>
  <si>
    <t>System B Status</t>
  </si>
  <si>
    <t>Flagged Date</t>
  </si>
  <si>
    <t>Sum of IsActiveFlag</t>
  </si>
  <si>
    <t>Values</t>
  </si>
  <si>
    <t>Sum of IsExpiring30Flag</t>
  </si>
  <si>
    <t>Average of OnboardingDays</t>
  </si>
  <si>
    <t>Sum of DiscrepancyFlag</t>
  </si>
  <si>
    <t>Row Labels</t>
  </si>
  <si>
    <t>Count of Name</t>
  </si>
  <si>
    <t>Sum of ExpiringSoonFlag</t>
  </si>
  <si>
    <t>Average of Stage1Days</t>
  </si>
  <si>
    <t>Average of Stage2Days</t>
  </si>
  <si>
    <t>Average of Stage3Days</t>
  </si>
  <si>
    <t>Average of MetricModifier</t>
  </si>
  <si>
    <t>Live source for a manually-inserted Filled Map chart (State breakdown). Select tblStateMapSource below, Insert &gt; Charts &gt; Maps &gt; Filled Map - it already tracks the 4 slicers, no Filter Connections needed.</t>
  </si>
  <si>
    <t>Count</t>
  </si>
  <si>
    <t>Ohio</t>
  </si>
  <si>
    <t>Colorado</t>
  </si>
  <si>
    <t>Oregon</t>
  </si>
  <si>
    <t>Request -&gt; AD Profile</t>
  </si>
  <si>
    <t>AD Profile -&gt; System Access</t>
  </si>
  <si>
    <t>System Access -&gt; Go-Live</t>
  </si>
  <si>
    <t>State Name</t>
  </si>
  <si>
    <t>Laura Edwards</t>
  </si>
  <si>
    <t>Kevin Campbell</t>
  </si>
  <si>
    <t>Kevin Thompson</t>
  </si>
  <si>
    <t>James Clark</t>
  </si>
  <si>
    <t>Susan Carter</t>
  </si>
  <si>
    <t>Rebecca Green</t>
  </si>
  <si>
    <t>Susan Scott</t>
  </si>
  <si>
    <t>Robert Parker</t>
  </si>
  <si>
    <t>Matthew Walker</t>
  </si>
  <si>
    <t>James Collins</t>
  </si>
  <si>
    <t>Michael Anderson</t>
  </si>
  <si>
    <t>Melissa Anderson</t>
  </si>
  <si>
    <t>Kevin Mitchell</t>
  </si>
  <si>
    <t>Joshua Evans</t>
  </si>
  <si>
    <t>Ashley Clark</t>
  </si>
  <si>
    <t>Emily Parker</t>
  </si>
  <si>
    <t>Kevin Martinez</t>
  </si>
  <si>
    <t>Emily Martinez</t>
  </si>
  <si>
    <t>Rebecca Lewis</t>
  </si>
  <si>
    <t>Charles Phillips</t>
  </si>
  <si>
    <t>Rebecca Evans</t>
  </si>
  <si>
    <t>Daniel Rodriguez</t>
  </si>
  <si>
    <t>Kevin Robinson</t>
  </si>
  <si>
    <t>Susan King</t>
  </si>
  <si>
    <t>Michael Green</t>
  </si>
  <si>
    <t>Amanda Clark</t>
  </si>
  <si>
    <t>James Adams</t>
  </si>
  <si>
    <t>Brian Collins</t>
  </si>
  <si>
    <t>Linda Turner</t>
  </si>
  <si>
    <t>Maria Robinson</t>
  </si>
  <si>
    <t>Thomas Robinson</t>
  </si>
  <si>
    <t>Andrew Thompson</t>
  </si>
  <si>
    <t>Maria Thompson</t>
  </si>
  <si>
    <t>Ryan Stewart</t>
  </si>
  <si>
    <t>Rebecca Allen</t>
  </si>
  <si>
    <t>Stephanie Lewis</t>
  </si>
  <si>
    <t>James Hall</t>
  </si>
  <si>
    <t>Ashley Nelson</t>
  </si>
  <si>
    <t>Karen Mitchell</t>
  </si>
  <si>
    <t>Sandra Young</t>
  </si>
  <si>
    <t>Sandra Scott</t>
  </si>
  <si>
    <t>Karen Carter</t>
  </si>
  <si>
    <t>Justin Rodriguez</t>
  </si>
  <si>
    <t>Michael Young</t>
  </si>
  <si>
    <t>Sandra Campbell</t>
  </si>
  <si>
    <t>Karen Scott</t>
  </si>
  <si>
    <t>Michael Perez</t>
  </si>
  <si>
    <t>Betty Martinez</t>
  </si>
  <si>
    <t>Ashley Rodriguez</t>
  </si>
  <si>
    <t>Matthew Allen</t>
  </si>
  <si>
    <t>Nancy Campbell</t>
  </si>
  <si>
    <t>Matthew Adams</t>
  </si>
  <si>
    <t>Charles Adams</t>
  </si>
  <si>
    <t>Daniel Wright</t>
  </si>
  <si>
    <t>Jessica Thompson</t>
  </si>
  <si>
    <t>Betty Nelson</t>
  </si>
  <si>
    <t>Andrew Nelson</t>
  </si>
  <si>
    <t>David Baker</t>
  </si>
  <si>
    <t>Ryan Walker</t>
  </si>
  <si>
    <t>James Turner</t>
  </si>
  <si>
    <t>David Adams</t>
  </si>
  <si>
    <t>Melissa Rodriguez</t>
  </si>
  <si>
    <t>James Martinez</t>
  </si>
  <si>
    <t>Karen King</t>
  </si>
  <si>
    <t>Melissa Adams</t>
  </si>
  <si>
    <t>Daniel Robinson</t>
  </si>
  <si>
    <t>Michael Thompson</t>
  </si>
  <si>
    <t>Joshua Perez</t>
  </si>
  <si>
    <t>David Wright</t>
  </si>
  <si>
    <t>Joshua Roberts</t>
  </si>
  <si>
    <t>Jessica King</t>
  </si>
  <si>
    <t>Charles Perez</t>
  </si>
  <si>
    <t>Brian Adams</t>
  </si>
  <si>
    <t>Daniel Parker</t>
  </si>
  <si>
    <t>Susan Hall</t>
  </si>
  <si>
    <t>Michael Phillips</t>
  </si>
  <si>
    <t>James Allen</t>
  </si>
  <si>
    <t>Linda Collins</t>
  </si>
  <si>
    <t>Avg Stage1</t>
  </si>
  <si>
    <t>Avg Stage2</t>
  </si>
  <si>
    <t>Avg Stage3</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</si>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</sst>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y\y\y\y\-ss\-\d\d"/>
    <numFmt numFmtId="165" formatCode="0.0"/>
    <numFmt numFmtId="166" formatCode="0.0&quot; days&quot;"/>
    <numFmt numFmtId="167" formatCode="0.0&quot;%&quot;"/>
  </numFmts>
  <fonts count="1" x14ac:knownFonts="1">
    <font>
      <sz val="11"/>
      <color theme="1"/>
      <name val="Calibri"/>
      <family val="2"/>
      <charset val="238"/>
      <scheme val="minor"/>
    </font>
  </fonts>
  <fills count="4">
    <fill>
      <patternFill patternType="none"/>
    </fill>
    <fill>
      <patternFill patternType="gray125"/>
    </fill>
    <fill>
      <patternFill patternType="solid">
        <fgColor theme="4" tint="0.79998168889431442"/>
        <bgColor indexed="64"/>
      </patternFill>
    </fill>
    <fill>
      <patternFill patternType="solid">
        <fgColor theme="9" tint="0.59999389629810485"/>
        <bgColor indexed="64"/>
      </patternFill>
    </fill>
  </fills>
  <borders count="1">
    <border>
      <left/>
      <right/>
      <top/>
      <bottom/>
      <diagonal/>
    </border>
  </borders>
  <cellStyleXfs count="1">
    <xf numFmtId="0" fontId="0" fillId="0" borderId="0"/>
  </cellStyleXfs>
  <cellXfs count="11">
    <xf numFmtId="0" fontId="0" fillId="0" borderId="0" xfId="0"/>
    <xf numFmtId="164" fontId="0" fillId="0" borderId="0" xfId="0" applyNumberFormat="1"/>
    <xf numFmtId="0" fontId="0" fillId="0" borderId="0" xfId="0" pivotButton="1"/>
    <xf numFmtId="0" fontId="0" fillId="0" borderId="0" xfId="0" applyAlignment="1">
      <alignment horizontal="left"/>
    </xf>
    <xf numFmtId="165" fontId="0" fillId="0" borderId="0" xfId="0" applyNumberFormat="1"/>
    <xf numFmtId="1" fontId="0" fillId="2" borderId="0" xfId="0" applyNumberFormat="1" applyFill="1"/>
    <xf numFmtId="0" fontId="0" fillId="2" borderId="0" xfId="0" applyFill="1"/>
    <xf numFmtId="166" fontId="0" fillId="2" borderId="0" xfId="0" applyNumberFormat="1" applyFill="1"/>
    <xf numFmtId="167" fontId="0" fillId="2" borderId="0" xfId="0" applyNumberFormat="1" applyFill="1"/>
    <xf numFmtId="2" fontId="0" fillId="2" borderId="0" xfId="0" applyNumberFormat="1" applyFill="1"/>
    <xf numFmtId="0" fontId="0" fillId="3" borderId="0" xfId="0" applyFill="1"/>
  </cellXfs>
  <cellStyles count="1">
    <cellStyle name="Normal" xfId="0" builtinId="0"/>
  </cellStyles>
  <dxfs count="369">
    <dxf>
      <numFmt numFmtId="164" formatCode="\y\y\y\y\-ss\-\d\d"/>
    </dxf>
    <dxf>
      <numFmt numFmtId="165" formatCode="0.0"/>
    </dxf>
    <dxf>
      <numFmt numFmtId="165" formatCode="0.0"/>
    </dxf>
    <dxf>
      <numFmt numFmtId="164" formatCode="\y\y\y\y\-ss\-\d\d"/>
    </dxf>
    <dxf>
      <numFmt numFmtId="164" formatCode="\y\y\y\y\-ss\-\d\d"/>
    </dxf>
    <dxf>
      <numFmt numFmtId="164" formatCode="\y\y\y\y\-ss\-\d\d"/>
    </dxf>
    <dxf>
      <numFmt numFmtId="164" formatCode="\y\y\y\y\-ss\-\d\d"/>
    </dxf>
    <dxf>
      <numFmt numFmtId="164" formatCode="\y\y\y\y\-ss\-\d\d"/>
    </dxf>
    <dxf>
      <numFmt numFmtId="164" formatCode="\y\y\y\y\-ss\-\d\d"/>
    </dxf>
    <dxf>
      <numFmt numFmtId="164" formatCode="\y\y\y\y\-ss\-\d\d"/>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patternType="solid">
          <bgColor theme="4" tint="0.7999816888943144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
      <fill>
        <patternFill patternType="solid">
          <bgColor theme="2" tint="-9.9978637043366805E-2"/>
        </patternFill>
      </fill>
    </dxf>
  </dxfs>
  <tableStyles count="1" defaultTableStyle="TableStyleMedium2" defaultPivotStyle="PivotStyleLight16">
    <tableStyle name="Invisible" pivot="0" table="0" count="0" xr9:uid="{DB89DE15-2948-47A7-9164-00343F1683A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[CEO_Executive_Dashboard.xlsm]Pivots!statePT</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hu-HU"/>
              <a:t>Contractors by State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hu-HU"/>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hu-HU"/>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Pivots!$I$3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hu-HU"/>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Pivots!$H$4:$H$24</c:f>
              <c:strCache>
                <c:ptCount val="21"/>
                <c:pt idx="0">
                  <c:v>TX</c:v>
                </c:pt>
                <c:pt idx="1">
                  <c:v>NY</c:v>
                </c:pt>
                <c:pt idx="2">
                  <c:v>CA</c:v>
                </c:pt>
                <c:pt idx="3">
                  <c:v>FL</c:v>
                </c:pt>
                <c:pt idx="4">
                  <c:v>IN</c:v>
                </c:pt>
                <c:pt idx="5">
                  <c:v>NC</c:v>
                </c:pt>
                <c:pt idx="6">
                  <c:v>NJ</c:v>
                </c:pt>
                <c:pt idx="7">
                  <c:v>IL</c:v>
                </c:pt>
                <c:pt idx="8">
                  <c:v>WA</c:v>
                </c:pt>
                <c:pt idx="9">
                  <c:v>PA</c:v>
                </c:pt>
                <c:pt idx="10">
                  <c:v>TN</c:v>
                </c:pt>
                <c:pt idx="11">
                  <c:v>MD</c:v>
                </c:pt>
                <c:pt idx="12">
                  <c:v>MI</c:v>
                </c:pt>
                <c:pt idx="13">
                  <c:v>MO</c:v>
                </c:pt>
                <c:pt idx="14">
                  <c:v>MA</c:v>
                </c:pt>
                <c:pt idx="15">
                  <c:v>MN</c:v>
                </c:pt>
                <c:pt idx="16">
                  <c:v>CT</c:v>
                </c:pt>
                <c:pt idx="17">
                  <c:v>AZ</c:v>
                </c:pt>
                <c:pt idx="18">
                  <c:v>WI</c:v>
                </c:pt>
                <c:pt idx="19">
                  <c:v>GA</c:v>
                </c:pt>
                <c:pt idx="20">
                  <c:v>VA</c:v>
                </c:pt>
              </c:strCache>
            </c:strRef>
          </c:cat>
          <c:val>
            <c:numRef>
              <c:f>Pivots!$I$4:$I$24</c:f>
              <c:numCache>
                <c:formatCode>General</c:formatCode>
                <c:ptCount val="21"/>
                <c:pt idx="0">
                  <c:v>12</c:v>
                </c:pt>
                <c:pt idx="1">
                  <c:v>9</c:v>
                </c:pt>
                <c:pt idx="2">
                  <c:v>8</c:v>
                </c:pt>
                <c:pt idx="3">
                  <c:v>5</c:v>
                </c:pt>
                <c:pt idx="4">
                  <c:v>5</c:v>
                </c:pt>
                <c:pt idx="5">
                  <c:v>4</c:v>
                </c:pt>
                <c:pt idx="6">
                  <c:v>4</c:v>
                </c:pt>
                <c:pt idx="7">
                  <c:v>4</c:v>
                </c:pt>
                <c:pt idx="8">
                  <c:v>4</c:v>
                </c:pt>
                <c:pt idx="9">
                  <c:v>3</c:v>
                </c:pt>
                <c:pt idx="10">
                  <c:v>3</c:v>
                </c:pt>
                <c:pt idx="11">
                  <c:v>3</c:v>
                </c:pt>
                <c:pt idx="12">
                  <c:v>3</c:v>
                </c:pt>
                <c:pt idx="13">
                  <c:v>2</c:v>
                </c:pt>
                <c:pt idx="14">
                  <c:v>2</c:v>
                </c:pt>
                <c:pt idx="15">
                  <c:v>2</c:v>
                </c:pt>
                <c:pt idx="16">
                  <c:v>1</c:v>
                </c:pt>
                <c:pt idx="17">
                  <c:v>1</c:v>
                </c:pt>
                <c:pt idx="18">
                  <c:v>1</c:v>
                </c:pt>
                <c:pt idx="19">
                  <c:v>1</c:v>
                </c:pt>
                <c:pt idx="20">
                  <c:v>1</c:v>
                </c:pt>
              </c:numCache>
            </c:numRef>
          </c:val>
          <c:extLst>
            <c:ext xmlns:c16="http://schemas.microsoft.com/office/drawing/2014/chart" uri="{C3380CC4-5D6E-409C-BE32-E72D297353CC}">
              <c16:uniqueId val="{00000002-101A-4A77-A2E8-21ED522079DA}"/>
            </c:ext>
          </c:extLst>
        </c:ser>
        <c:dLbls>
          <c:dLblPos val="inEnd"/>
          <c:showLegendKey val="0"/>
          <c:showVal val="1"/>
          <c:showCatName val="0"/>
          <c:showSerName val="0"/>
          <c:showPercent val="0"/>
          <c:showBubbleSize val="0"/>
        </c:dLbls>
        <c:gapWidth val="65"/>
        <c:axId val="1013078688"/>
        <c:axId val="1013079168"/>
      </c:barChart>
      <c:catAx>
        <c:axId val="1013078688"/>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hu-HU"/>
          </a:p>
        </c:txPr>
        <c:crossAx val="1013079168"/>
        <c:crosses val="autoZero"/>
        <c:auto val="1"/>
        <c:lblAlgn val="ctr"/>
        <c:lblOffset val="100"/>
        <c:noMultiLvlLbl val="0"/>
      </c:catAx>
      <c:valAx>
        <c:axId val="1013079168"/>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hu-HU"/>
          </a:p>
        </c:txPr>
        <c:crossAx val="1013078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hu-HU"/>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hu-HU"/>
              <a:t>SLA / KPI / CPI Compliance Trend</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hu-HU"/>
        </a:p>
      </c:txPr>
    </c:title>
    <c:autoTitleDeleted val="0"/>
    <c:plotArea>
      <c:layout/>
      <c:lineChart>
        <c:grouping val="standard"/>
        <c:varyColors val="0"/>
        <c:ser>
          <c:idx val="0"/>
          <c:order val="0"/>
          <c:tx>
            <c:strRef>
              <c:f>SlaTrend!$C$1</c:f>
              <c:strCache>
                <c:ptCount val="1"/>
                <c:pt idx="0">
                  <c:v>SlaPct</c:v>
                </c:pt>
              </c:strCache>
            </c:strRef>
          </c:tx>
          <c:spPr>
            <a:ln w="31750" cap="rnd">
              <a:solidFill>
                <a:schemeClr val="accent1"/>
              </a:solidFill>
              <a:round/>
            </a:ln>
            <a:effectLst/>
          </c:spPr>
          <c:marker>
            <c:symbol val="circle"/>
            <c:size val="17"/>
            <c:spPr>
              <a:solidFill>
                <a:schemeClr val="accent1"/>
              </a:solidFill>
              <a:ln>
                <a:noFill/>
              </a:ln>
              <a:effectLst/>
            </c:spPr>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hu-HU"/>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SlaTrend!$B$2:$B$13</c:f>
              <c:strCache>
                <c:ptCount val="12"/>
                <c:pt idx="0">
                  <c:v>okt. 25</c:v>
                </c:pt>
                <c:pt idx="1">
                  <c:v>nov. 25</c:v>
                </c:pt>
                <c:pt idx="2">
                  <c:v>dec. 25</c:v>
                </c:pt>
                <c:pt idx="3">
                  <c:v>jan. 26</c:v>
                </c:pt>
                <c:pt idx="4">
                  <c:v>febr. 26</c:v>
                </c:pt>
                <c:pt idx="5">
                  <c:v>márc. 26</c:v>
                </c:pt>
                <c:pt idx="6">
                  <c:v>ápr. 26</c:v>
                </c:pt>
                <c:pt idx="7">
                  <c:v>máj. 26</c:v>
                </c:pt>
                <c:pt idx="8">
                  <c:v>jún. 26</c:v>
                </c:pt>
                <c:pt idx="9">
                  <c:v>júl. 26</c:v>
                </c:pt>
                <c:pt idx="10">
                  <c:v>aug. 26</c:v>
                </c:pt>
                <c:pt idx="11">
                  <c:v>szept. 26</c:v>
                </c:pt>
              </c:strCache>
            </c:strRef>
          </c:cat>
          <c:val>
            <c:numRef>
              <c:f>SlaTrend!$C$2:$C$13</c:f>
              <c:numCache>
                <c:formatCode>0.0</c:formatCode>
                <c:ptCount val="12"/>
                <c:pt idx="0">
                  <c:v>91.645384615384614</c:v>
                </c:pt>
                <c:pt idx="1">
                  <c:v>97.645384615384614</c:v>
                </c:pt>
                <c:pt idx="2">
                  <c:v>93.945384615384611</c:v>
                </c:pt>
                <c:pt idx="3">
                  <c:v>97.545384615384606</c:v>
                </c:pt>
                <c:pt idx="4">
                  <c:v>97.045384615384606</c:v>
                </c:pt>
                <c:pt idx="5">
                  <c:v>97.345384615384603</c:v>
                </c:pt>
                <c:pt idx="6">
                  <c:v>97.045384615384606</c:v>
                </c:pt>
                <c:pt idx="7">
                  <c:v>94.545384615384606</c:v>
                </c:pt>
                <c:pt idx="8">
                  <c:v>91.645384615384614</c:v>
                </c:pt>
                <c:pt idx="9">
                  <c:v>81.945384615384611</c:v>
                </c:pt>
                <c:pt idx="10">
                  <c:v>95.145384615384614</c:v>
                </c:pt>
                <c:pt idx="11">
                  <c:v>96.445384615384611</c:v>
                </c:pt>
              </c:numCache>
            </c:numRef>
          </c:val>
          <c:smooth val="0"/>
          <c:extLst>
            <c:ext xmlns:c16="http://schemas.microsoft.com/office/drawing/2014/chart" uri="{C3380CC4-5D6E-409C-BE32-E72D297353CC}">
              <c16:uniqueId val="{00000000-7E22-481B-A950-F984626AFAD5}"/>
            </c:ext>
          </c:extLst>
        </c:ser>
        <c:dLbls>
          <c:dLblPos val="ctr"/>
          <c:showLegendKey val="0"/>
          <c:showVal val="1"/>
          <c:showCatName val="0"/>
          <c:showSerName val="0"/>
          <c:showPercent val="0"/>
          <c:showBubbleSize val="0"/>
        </c:dLbls>
        <c:marker val="1"/>
        <c:smooth val="0"/>
        <c:axId val="1050748480"/>
        <c:axId val="1050747520"/>
      </c:lineChart>
      <c:catAx>
        <c:axId val="10507484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hu-HU"/>
          </a:p>
        </c:txPr>
        <c:crossAx val="1050747520"/>
        <c:crosses val="autoZero"/>
        <c:auto val="1"/>
        <c:lblAlgn val="ctr"/>
        <c:lblOffset val="100"/>
        <c:noMultiLvlLbl val="0"/>
      </c:catAx>
      <c:valAx>
        <c:axId val="105074752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 sourceLinked="1"/>
        <c:majorTickMark val="none"/>
        <c:minorTickMark val="none"/>
        <c:tickLblPos val="nextTo"/>
        <c:crossAx val="1050748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hu-HU"/>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hu-HU"/>
              <a:t>Contractor Turnover Trend</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hu-HU"/>
        </a:p>
      </c:txPr>
    </c:title>
    <c:autoTitleDeleted val="0"/>
    <c:plotArea>
      <c:layout/>
      <c:lineChart>
        <c:grouping val="standard"/>
        <c:varyColors val="0"/>
        <c:ser>
          <c:idx val="1"/>
          <c:order val="0"/>
          <c:tx>
            <c:strRef>
              <c:f>SlaTrend!$D$1</c:f>
              <c:strCache>
                <c:ptCount val="1"/>
                <c:pt idx="0">
                  <c:v>TurnoverPct</c:v>
                </c:pt>
              </c:strCache>
            </c:strRef>
          </c:tx>
          <c:spPr>
            <a:ln w="31750" cap="rnd">
              <a:solidFill>
                <a:schemeClr val="accent2"/>
              </a:solidFill>
              <a:round/>
            </a:ln>
            <a:effectLst/>
          </c:spPr>
          <c:marker>
            <c:symbol val="circle"/>
            <c:size val="17"/>
            <c:spPr>
              <a:solidFill>
                <a:schemeClr val="accent2"/>
              </a:solidFill>
              <a:ln>
                <a:noFill/>
              </a:ln>
              <a:effectLst/>
            </c:spPr>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hu-HU"/>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SlaTrend!$B$2:$B$13</c:f>
              <c:strCache>
                <c:ptCount val="12"/>
                <c:pt idx="0">
                  <c:v>okt. 25</c:v>
                </c:pt>
                <c:pt idx="1">
                  <c:v>nov. 25</c:v>
                </c:pt>
                <c:pt idx="2">
                  <c:v>dec. 25</c:v>
                </c:pt>
                <c:pt idx="3">
                  <c:v>jan. 26</c:v>
                </c:pt>
                <c:pt idx="4">
                  <c:v>febr. 26</c:v>
                </c:pt>
                <c:pt idx="5">
                  <c:v>márc. 26</c:v>
                </c:pt>
                <c:pt idx="6">
                  <c:v>ápr. 26</c:v>
                </c:pt>
                <c:pt idx="7">
                  <c:v>máj. 26</c:v>
                </c:pt>
                <c:pt idx="8">
                  <c:v>jún. 26</c:v>
                </c:pt>
                <c:pt idx="9">
                  <c:v>júl. 26</c:v>
                </c:pt>
                <c:pt idx="10">
                  <c:v>aug. 26</c:v>
                </c:pt>
                <c:pt idx="11">
                  <c:v>szept. 26</c:v>
                </c:pt>
              </c:strCache>
            </c:strRef>
          </c:cat>
          <c:val>
            <c:numRef>
              <c:f>SlaTrend!$D$2:$D$13</c:f>
              <c:numCache>
                <c:formatCode>0.0</c:formatCode>
                <c:ptCount val="12"/>
                <c:pt idx="0">
                  <c:v>3.2453846153846153</c:v>
                </c:pt>
                <c:pt idx="1">
                  <c:v>2.8453846153846154</c:v>
                </c:pt>
                <c:pt idx="2">
                  <c:v>4.2453846153846158</c:v>
                </c:pt>
                <c:pt idx="3">
                  <c:v>4.5453846153846156</c:v>
                </c:pt>
                <c:pt idx="4">
                  <c:v>4.2453846153846158</c:v>
                </c:pt>
                <c:pt idx="5">
                  <c:v>4.8453846153846154</c:v>
                </c:pt>
                <c:pt idx="6">
                  <c:v>5.4453846153846159</c:v>
                </c:pt>
                <c:pt idx="7">
                  <c:v>2.5453846153846151</c:v>
                </c:pt>
                <c:pt idx="8">
                  <c:v>6.8453846153846154</c:v>
                </c:pt>
                <c:pt idx="9">
                  <c:v>14.345384615384615</c:v>
                </c:pt>
                <c:pt idx="10">
                  <c:v>3.7453846153846153</c:v>
                </c:pt>
                <c:pt idx="11">
                  <c:v>4.0453846153846156</c:v>
                </c:pt>
              </c:numCache>
            </c:numRef>
          </c:val>
          <c:smooth val="0"/>
          <c:extLst>
            <c:ext xmlns:c16="http://schemas.microsoft.com/office/drawing/2014/chart" uri="{C3380CC4-5D6E-409C-BE32-E72D297353CC}">
              <c16:uniqueId val="{00000001-FD0D-4661-A597-F708DAEC0C6D}"/>
            </c:ext>
          </c:extLst>
        </c:ser>
        <c:dLbls>
          <c:dLblPos val="ctr"/>
          <c:showLegendKey val="0"/>
          <c:showVal val="1"/>
          <c:showCatName val="0"/>
          <c:showSerName val="0"/>
          <c:showPercent val="0"/>
          <c:showBubbleSize val="0"/>
        </c:dLbls>
        <c:marker val="1"/>
        <c:smooth val="0"/>
        <c:axId val="1050749440"/>
        <c:axId val="1051702048"/>
      </c:lineChart>
      <c:catAx>
        <c:axId val="10507494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hu-HU"/>
          </a:p>
        </c:txPr>
        <c:crossAx val="1051702048"/>
        <c:crosses val="autoZero"/>
        <c:auto val="1"/>
        <c:lblAlgn val="ctr"/>
        <c:lblOffset val="100"/>
        <c:noMultiLvlLbl val="0"/>
      </c:catAx>
      <c:valAx>
        <c:axId val="105170204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 sourceLinked="1"/>
        <c:majorTickMark val="none"/>
        <c:minorTickMark val="none"/>
        <c:tickLblPos val="nextTo"/>
        <c:crossAx val="1050749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hu-HU"/>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[CEO_Executive_Dashboard.xlsm]Pivots!vendorPT</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hu-HU"/>
              <a:t>Contracts Expiring Within 90 Days, by Vendor</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hu-HU"/>
        </a:p>
      </c:txPr>
    </c:title>
    <c:autoTitleDeleted val="0"/>
    <c:pivotFmts>
      <c:pivotFmt>
        <c:idx val="0"/>
        <c:spPr>
          <a:solidFill>
            <a:schemeClr val="accent2">
              <a:lumMod val="60000"/>
              <a:lumOff val="40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hu-HU"/>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Pivots!$N$3</c:f>
              <c:strCache>
                <c:ptCount val="1"/>
                <c:pt idx="0">
                  <c:v>Total</c:v>
                </c:pt>
              </c:strCache>
            </c:strRef>
          </c:tx>
          <c:spPr>
            <a:solidFill>
              <a:schemeClr val="accent2">
                <a:lumMod val="60000"/>
                <a:lumOff val="40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hu-HU"/>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Pivots!$M$4:$M$11</c:f>
              <c:strCache>
                <c:ptCount val="8"/>
                <c:pt idx="0">
                  <c:v>Insight Global</c:v>
                </c:pt>
                <c:pt idx="1">
                  <c:v>ManpowerGroup</c:v>
                </c:pt>
                <c:pt idx="2">
                  <c:v>TEKsystems</c:v>
                </c:pt>
                <c:pt idx="3">
                  <c:v>Randstad Technologies</c:v>
                </c:pt>
                <c:pt idx="4">
                  <c:v>Kelly OCG</c:v>
                </c:pt>
                <c:pt idx="5">
                  <c:v>Yoh Managed Solutions</c:v>
                </c:pt>
                <c:pt idx="6">
                  <c:v>Robert Half Technology</c:v>
                </c:pt>
                <c:pt idx="7">
                  <c:v>Apex Systems</c:v>
                </c:pt>
              </c:strCache>
            </c:strRef>
          </c:cat>
          <c:val>
            <c:numRef>
              <c:f>Pivots!$N$4:$N$11</c:f>
              <c:numCache>
                <c:formatCode>General</c:formatCode>
                <c:ptCount val="8"/>
                <c:pt idx="0">
                  <c:v>6</c:v>
                </c:pt>
                <c:pt idx="1">
                  <c:v>6</c:v>
                </c:pt>
                <c:pt idx="2">
                  <c:v>5</c:v>
                </c:pt>
                <c:pt idx="3">
                  <c:v>5</c:v>
                </c:pt>
                <c:pt idx="4">
                  <c:v>4</c:v>
                </c:pt>
                <c:pt idx="5">
                  <c:v>3</c:v>
                </c:pt>
                <c:pt idx="6">
                  <c:v>3</c:v>
                </c:pt>
                <c:pt idx="7">
                  <c:v>1</c:v>
                </c:pt>
              </c:numCache>
            </c:numRef>
          </c:val>
          <c:extLst>
            <c:ext xmlns:c16="http://schemas.microsoft.com/office/drawing/2014/chart" uri="{C3380CC4-5D6E-409C-BE32-E72D297353CC}">
              <c16:uniqueId val="{00000002-2C3F-43D8-BC25-63794304D405}"/>
            </c:ext>
          </c:extLst>
        </c:ser>
        <c:dLbls>
          <c:dLblPos val="inEnd"/>
          <c:showLegendKey val="0"/>
          <c:showVal val="1"/>
          <c:showCatName val="0"/>
          <c:showSerName val="0"/>
          <c:showPercent val="0"/>
          <c:showBubbleSize val="0"/>
        </c:dLbls>
        <c:gapWidth val="65"/>
        <c:axId val="1051701568"/>
        <c:axId val="1051703968"/>
      </c:barChart>
      <c:catAx>
        <c:axId val="1051701568"/>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hu-HU"/>
          </a:p>
        </c:txPr>
        <c:crossAx val="1051703968"/>
        <c:crosses val="autoZero"/>
        <c:auto val="1"/>
        <c:lblAlgn val="ctr"/>
        <c:lblOffset val="100"/>
        <c:noMultiLvlLbl val="0"/>
      </c:catAx>
      <c:valAx>
        <c:axId val="1051703968"/>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hu-HU"/>
          </a:p>
        </c:txPr>
        <c:crossAx val="1051701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hu-HU"/>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[CEO_Executive_Dashboard.xlsm]Pivots!payBandPT</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hu-HU"/>
              <a:t>Pay Band Distribution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hu-HU"/>
        </a:p>
      </c:txPr>
    </c:title>
    <c:autoTitleDeleted val="0"/>
    <c:pivotFmts>
      <c:pivotFmt>
        <c:idx val="0"/>
        <c:spPr>
          <a:solidFill>
            <a:schemeClr val="accent1">
              <a:lumMod val="50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hu-HU"/>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Pivots!$S$3</c:f>
              <c:strCache>
                <c:ptCount val="1"/>
                <c:pt idx="0">
                  <c:v>Total</c:v>
                </c:pt>
              </c:strCache>
            </c:strRef>
          </c:tx>
          <c:spPr>
            <a:solidFill>
              <a:schemeClr val="accent1">
                <a:lumMod val="50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hu-HU"/>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Pivots!$R$4:$R$8</c:f>
              <c:strCache>
                <c:ptCount val="5"/>
                <c:pt idx="0">
                  <c:v>$60K-80K</c:v>
                </c:pt>
                <c:pt idx="1">
                  <c:v>$80K-100K</c:v>
                </c:pt>
                <c:pt idx="2">
                  <c:v>$100K-125K</c:v>
                </c:pt>
                <c:pt idx="3">
                  <c:v>$125K-150K</c:v>
                </c:pt>
                <c:pt idx="4">
                  <c:v>$150K+</c:v>
                </c:pt>
              </c:strCache>
            </c:strRef>
          </c:cat>
          <c:val>
            <c:numRef>
              <c:f>Pivots!$S$4:$S$8</c:f>
              <c:numCache>
                <c:formatCode>General</c:formatCode>
                <c:ptCount val="5"/>
                <c:pt idx="0">
                  <c:v>12</c:v>
                </c:pt>
                <c:pt idx="1">
                  <c:v>24</c:v>
                </c:pt>
                <c:pt idx="2">
                  <c:v>23</c:v>
                </c:pt>
                <c:pt idx="3">
                  <c:v>13</c:v>
                </c:pt>
                <c:pt idx="4">
                  <c:v>6</c:v>
                </c:pt>
              </c:numCache>
            </c:numRef>
          </c:val>
          <c:extLst>
            <c:ext xmlns:c16="http://schemas.microsoft.com/office/drawing/2014/chart" uri="{C3380CC4-5D6E-409C-BE32-E72D297353CC}">
              <c16:uniqueId val="{00000002-9180-4AF7-BACD-41E8D4C48D67}"/>
            </c:ext>
          </c:extLst>
        </c:ser>
        <c:dLbls>
          <c:dLblPos val="inEnd"/>
          <c:showLegendKey val="0"/>
          <c:showVal val="1"/>
          <c:showCatName val="0"/>
          <c:showSerName val="0"/>
          <c:showPercent val="0"/>
          <c:showBubbleSize val="0"/>
        </c:dLbls>
        <c:gapWidth val="65"/>
        <c:axId val="1052134928"/>
        <c:axId val="1052134448"/>
      </c:barChart>
      <c:catAx>
        <c:axId val="105213492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hu-HU"/>
          </a:p>
        </c:txPr>
        <c:crossAx val="1052134448"/>
        <c:crosses val="autoZero"/>
        <c:auto val="1"/>
        <c:lblAlgn val="ctr"/>
        <c:lblOffset val="100"/>
        <c:noMultiLvlLbl val="0"/>
      </c:catAx>
      <c:valAx>
        <c:axId val="105213444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052134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hu-HU"/>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[CEO_Executive_Dashboard.xlsm]Pivots!ageBucketPT</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hu-HU"/>
              <a:t>Age Distribution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hu-HU"/>
        </a:p>
      </c:txPr>
    </c:title>
    <c:autoTitleDeleted val="0"/>
    <c:pivotFmts>
      <c:pivotFmt>
        <c:idx val="0"/>
        <c:spPr>
          <a:solidFill>
            <a:schemeClr val="accent6">
              <a:lumMod val="60000"/>
              <a:lumOff val="40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hu-HU"/>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Pivots!$X$3</c:f>
              <c:strCache>
                <c:ptCount val="1"/>
                <c:pt idx="0">
                  <c:v>Total</c:v>
                </c:pt>
              </c:strCache>
            </c:strRef>
          </c:tx>
          <c:spPr>
            <a:solidFill>
              <a:schemeClr val="accent6">
                <a:lumMod val="60000"/>
                <a:lumOff val="40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hu-HU"/>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Pivots!$W$4:$W$8</c:f>
              <c:strCache>
                <c:ptCount val="5"/>
                <c:pt idx="0">
                  <c:v>20-29</c:v>
                </c:pt>
                <c:pt idx="1">
                  <c:v>30-39</c:v>
                </c:pt>
                <c:pt idx="2">
                  <c:v>40-49</c:v>
                </c:pt>
                <c:pt idx="3">
                  <c:v>50-59</c:v>
                </c:pt>
                <c:pt idx="4">
                  <c:v>60+</c:v>
                </c:pt>
              </c:strCache>
            </c:strRef>
          </c:cat>
          <c:val>
            <c:numRef>
              <c:f>Pivots!$X$4:$X$8</c:f>
              <c:numCache>
                <c:formatCode>General</c:formatCode>
                <c:ptCount val="5"/>
                <c:pt idx="0">
                  <c:v>15</c:v>
                </c:pt>
                <c:pt idx="1">
                  <c:v>23</c:v>
                </c:pt>
                <c:pt idx="2">
                  <c:v>14</c:v>
                </c:pt>
                <c:pt idx="3">
                  <c:v>18</c:v>
                </c:pt>
                <c:pt idx="4">
                  <c:v>8</c:v>
                </c:pt>
              </c:numCache>
            </c:numRef>
          </c:val>
          <c:extLst>
            <c:ext xmlns:c16="http://schemas.microsoft.com/office/drawing/2014/chart" uri="{C3380CC4-5D6E-409C-BE32-E72D297353CC}">
              <c16:uniqueId val="{00000002-C829-4CF4-AE42-D9274634B2FF}"/>
            </c:ext>
          </c:extLst>
        </c:ser>
        <c:dLbls>
          <c:dLblPos val="inEnd"/>
          <c:showLegendKey val="0"/>
          <c:showVal val="1"/>
          <c:showCatName val="0"/>
          <c:showSerName val="0"/>
          <c:showPercent val="0"/>
          <c:showBubbleSize val="0"/>
        </c:dLbls>
        <c:gapWidth val="65"/>
        <c:axId val="1052136368"/>
        <c:axId val="1052133008"/>
      </c:barChart>
      <c:catAx>
        <c:axId val="105213636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hu-HU"/>
          </a:p>
        </c:txPr>
        <c:crossAx val="1052133008"/>
        <c:crosses val="autoZero"/>
        <c:auto val="1"/>
        <c:lblAlgn val="ctr"/>
        <c:lblOffset val="100"/>
        <c:noMultiLvlLbl val="0"/>
      </c:catAx>
      <c:valAx>
        <c:axId val="105213300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052136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hu-HU"/>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[CEO_Executive_Dashboard.xlsm]Pivots!tenurePT</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hu-HU"/>
              <a:t>Tenure Report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hu-HU"/>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hu-HU"/>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Pivots!$AC$3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hu-HU"/>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Pivots!$AB$4:$AB$7</c:f>
              <c:strCache>
                <c:ptCount val="4"/>
                <c:pt idx="0">
                  <c:v>&lt; 3 mo</c:v>
                </c:pt>
                <c:pt idx="1">
                  <c:v>3-6 mo</c:v>
                </c:pt>
                <c:pt idx="2">
                  <c:v>6-12 mo</c:v>
                </c:pt>
                <c:pt idx="3">
                  <c:v>1-2 yr</c:v>
                </c:pt>
              </c:strCache>
            </c:strRef>
          </c:cat>
          <c:val>
            <c:numRef>
              <c:f>Pivots!$AC$4:$AC$7</c:f>
              <c:numCache>
                <c:formatCode>General</c:formatCode>
                <c:ptCount val="4"/>
                <c:pt idx="0">
                  <c:v>5</c:v>
                </c:pt>
                <c:pt idx="1">
                  <c:v>9</c:v>
                </c:pt>
                <c:pt idx="2">
                  <c:v>37</c:v>
                </c:pt>
                <c:pt idx="3">
                  <c:v>27</c:v>
                </c:pt>
              </c:numCache>
            </c:numRef>
          </c:val>
          <c:extLst>
            <c:ext xmlns:c16="http://schemas.microsoft.com/office/drawing/2014/chart" uri="{C3380CC4-5D6E-409C-BE32-E72D297353CC}">
              <c16:uniqueId val="{00000001-0856-4975-8AEB-64BEEC0EDF63}"/>
            </c:ext>
          </c:extLst>
        </c:ser>
        <c:dLbls>
          <c:dLblPos val="inEnd"/>
          <c:showLegendKey val="0"/>
          <c:showVal val="1"/>
          <c:showCatName val="0"/>
          <c:showSerName val="0"/>
          <c:showPercent val="0"/>
          <c:showBubbleSize val="0"/>
        </c:dLbls>
        <c:gapWidth val="65"/>
        <c:axId val="1052412832"/>
        <c:axId val="1052413312"/>
      </c:barChart>
      <c:catAx>
        <c:axId val="105241283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hu-HU"/>
          </a:p>
        </c:txPr>
        <c:crossAx val="1052413312"/>
        <c:crosses val="autoZero"/>
        <c:auto val="1"/>
        <c:lblAlgn val="ctr"/>
        <c:lblOffset val="100"/>
        <c:noMultiLvlLbl val="0"/>
      </c:catAx>
      <c:valAx>
        <c:axId val="1052413312"/>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hu-HU"/>
          </a:p>
        </c:txPr>
        <c:crossAx val="1052412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hu-HU"/>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hu-HU"/>
              <a:t>Onboarding Lifecycle Funnel (Avg Days/Stage)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hu-HU"/>
        </a:p>
      </c:txPr>
    </c:title>
    <c:autoTitleDeleted val="0"/>
    <c:plotArea>
      <c:layout/>
      <c:barChart>
        <c:barDir val="col"/>
        <c:grouping val="clustered"/>
        <c:varyColors val="0"/>
        <c:ser>
          <c:idx val="0"/>
          <c:order val="0"/>
          <c:spPr>
            <a:solidFill>
              <a:schemeClr val="accent4">
                <a:lumMod val="7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hu-HU"/>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Dashboard!$BH$10:$BH$12</c:f>
              <c:strCache>
                <c:ptCount val="3"/>
                <c:pt idx="0">
                  <c:v>Request -&gt; AD Profile</c:v>
                </c:pt>
                <c:pt idx="1">
                  <c:v>AD Profile -&gt; System Access</c:v>
                </c:pt>
                <c:pt idx="2">
                  <c:v>System Access -&gt; Go-Live</c:v>
                </c:pt>
              </c:strCache>
            </c:strRef>
          </c:cat>
          <c:val>
            <c:numRef>
              <c:f>Dashboard!$BI$10:$BI$12</c:f>
              <c:numCache>
                <c:formatCode>0.00</c:formatCode>
                <c:ptCount val="3"/>
                <c:pt idx="0">
                  <c:v>5.8423076923076911</c:v>
                </c:pt>
                <c:pt idx="1">
                  <c:v>7.1987179487179471</c:v>
                </c:pt>
                <c:pt idx="2">
                  <c:v>4.8897435897435892</c:v>
                </c:pt>
              </c:numCache>
            </c:numRef>
          </c:val>
          <c:extLst>
            <c:ext xmlns:c16="http://schemas.microsoft.com/office/drawing/2014/chart" uri="{C3380CC4-5D6E-409C-BE32-E72D297353CC}">
              <c16:uniqueId val="{00000000-851B-43E5-9442-E2BC88009B78}"/>
            </c:ext>
          </c:extLst>
        </c:ser>
        <c:dLbls>
          <c:dLblPos val="inEnd"/>
          <c:showLegendKey val="0"/>
          <c:showVal val="1"/>
          <c:showCatName val="0"/>
          <c:showSerName val="0"/>
          <c:showPercent val="0"/>
          <c:showBubbleSize val="0"/>
        </c:dLbls>
        <c:gapWidth val="65"/>
        <c:axId val="1052414752"/>
        <c:axId val="1052415232"/>
      </c:barChart>
      <c:catAx>
        <c:axId val="10524147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hu-HU"/>
          </a:p>
        </c:txPr>
        <c:crossAx val="1052415232"/>
        <c:crosses val="autoZero"/>
        <c:auto val="1"/>
        <c:lblAlgn val="ctr"/>
        <c:lblOffset val="100"/>
        <c:noMultiLvlLbl val="0"/>
      </c:catAx>
      <c:valAx>
        <c:axId val="1052415232"/>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crossAx val="105241475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hu-HU"/>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Average Days by Onboarding Stage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hu-HU"/>
        </a:p>
      </c:txPr>
    </c:title>
    <c:autoTitleDeleted val="0"/>
    <c:plotArea>
      <c:layout/>
      <c:barChart>
        <c:barDir val="col"/>
        <c:grouping val="clustered"/>
        <c:varyColors val="0"/>
        <c:ser>
          <c:idx val="0"/>
          <c:order val="0"/>
          <c:tx>
            <c:v>Avg Days</c:v>
          </c:tx>
          <c:spPr>
            <a:solidFill>
              <a:schemeClr val="accent1"/>
            </a:solidFill>
            <a:ln>
              <a:noFill/>
            </a:ln>
            <a:effectLst/>
          </c:spPr>
          <c:invertIfNegative val="0"/>
          <c:dPt>
            <c:idx val="0"/>
            <c:invertIfNegative val="0"/>
            <c:bubble3D val="0"/>
            <c:spPr>
              <a:solidFill>
                <a:srgbClr val="4472C4"/>
              </a:solidFill>
              <a:ln>
                <a:noFill/>
              </a:ln>
              <a:effectLst/>
            </c:spPr>
            <c:extLst>
              <c:ext xmlns:c16="http://schemas.microsoft.com/office/drawing/2014/chart" uri="{C3380CC4-5D6E-409C-BE32-E72D297353CC}">
                <c16:uniqueId val="{00000001-4240-46BB-B6AF-D72B234CF12F}"/>
              </c:ext>
            </c:extLst>
          </c:dPt>
          <c:dPt>
            <c:idx val="1"/>
            <c:invertIfNegative val="0"/>
            <c:bubble3D val="0"/>
            <c:spPr>
              <a:solidFill>
                <a:srgbClr val="D23C3C"/>
              </a:solidFill>
              <a:ln>
                <a:noFill/>
              </a:ln>
              <a:effectLst/>
            </c:spPr>
            <c:extLst>
              <c:ext xmlns:c16="http://schemas.microsoft.com/office/drawing/2014/chart" uri="{C3380CC4-5D6E-409C-BE32-E72D297353CC}">
                <c16:uniqueId val="{00000002-4240-46BB-B6AF-D72B234CF12F}"/>
              </c:ext>
            </c:extLst>
          </c:dPt>
          <c:dPt>
            <c:idx val="2"/>
            <c:invertIfNegative val="0"/>
            <c:bubble3D val="0"/>
            <c:spPr>
              <a:solidFill>
                <a:srgbClr val="4472C4"/>
              </a:solidFill>
              <a:ln>
                <a:noFill/>
              </a:ln>
              <a:effectLst/>
            </c:spPr>
            <c:extLst>
              <c:ext xmlns:c16="http://schemas.microsoft.com/office/drawing/2014/chart" uri="{C3380CC4-5D6E-409C-BE32-E72D297353CC}">
                <c16:uniqueId val="{00000003-4240-46BB-B6AF-D72B234CF12F}"/>
              </c:ext>
            </c:extLst>
          </c:dPt>
          <c:dLbls>
            <c:numFmt formatCode="0.0&quot; d&quot;" sourceLinked="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hu-HU"/>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Pivots!$AR$4:$AR$6</c:f>
              <c:strCache>
                <c:ptCount val="3"/>
                <c:pt idx="0">
                  <c:v>Avg Stage1</c:v>
                </c:pt>
                <c:pt idx="1">
                  <c:v>Avg Stage2</c:v>
                </c:pt>
                <c:pt idx="2">
                  <c:v>Avg Stage3</c:v>
                </c:pt>
              </c:strCache>
            </c:strRef>
          </c:cat>
          <c:val>
            <c:numRef>
              <c:f>Pivots!$AS$4:$AS$6</c:f>
              <c:numCache>
                <c:formatCode>General</c:formatCode>
                <c:ptCount val="3"/>
                <c:pt idx="0">
                  <c:v>5.8423076923076911</c:v>
                </c:pt>
                <c:pt idx="1">
                  <c:v>7.1987179487179471</c:v>
                </c:pt>
                <c:pt idx="2">
                  <c:v>4.8897435897435892</c:v>
                </c:pt>
              </c:numCache>
            </c:numRef>
          </c:val>
          <c:extLst>
            <c:ext xmlns:c16="http://schemas.microsoft.com/office/drawing/2014/chart" uri="{C3380CC4-5D6E-409C-BE32-E72D297353CC}">
              <c16:uniqueId val="{00000000-4240-46BB-B6AF-D72B234CF12F}"/>
            </c:ext>
          </c:extLst>
        </c:ser>
        <c:dLbls>
          <c:showLegendKey val="0"/>
          <c:showVal val="0"/>
          <c:showCatName val="0"/>
          <c:showSerName val="0"/>
          <c:showPercent val="0"/>
          <c:showBubbleSize val="0"/>
        </c:dLbls>
        <c:gapWidth val="219"/>
        <c:axId val="1281952543"/>
        <c:axId val="1281949663"/>
      </c:barChart>
      <c:catAx>
        <c:axId val="1281952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hu-HU"/>
          </a:p>
        </c:txPr>
        <c:crossAx val="1281949663"/>
        <c:crosses val="autoZero"/>
        <c:auto val="1"/>
        <c:lblAlgn val="ctr"/>
        <c:lblOffset val="100"/>
        <c:noMultiLvlLbl val="0"/>
      </c:catAx>
      <c:valAx>
        <c:axId val="128194966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hu-HU"/>
          </a:p>
        </c:txPr>
        <c:crossAx val="1281952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hu-HU"/>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Contracts Expiring &lt;= 30 Days, by Renewal Status (14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hu-HU"/>
        </a:p>
      </c:txPr>
    </c:title>
    <c:autoTitleDeleted val="0"/>
    <c:plotArea>
      <c:layout/>
      <c:doughnutChart>
        <c:varyColors val="1"/>
        <c:ser>
          <c:idx val="0"/>
          <c:order val="0"/>
          <c:dPt>
            <c:idx val="0"/>
            <c:bubble3D val="0"/>
            <c:spPr>
              <a:solidFill>
                <a:srgbClr val="D23C3C"/>
              </a:solidFill>
              <a:ln w="19050">
                <a:solidFill>
                  <a:schemeClr val="lt1"/>
                </a:solidFill>
              </a:ln>
              <a:effectLst/>
            </c:spPr>
            <c:extLst>
              <c:ext xmlns:c16="http://schemas.microsoft.com/office/drawing/2014/chart" uri="{C3380CC4-5D6E-409C-BE32-E72D297353CC}">
                <c16:uniqueId val="{00000001-DFD4-4176-9854-0331C388C052}"/>
              </c:ext>
            </c:extLst>
          </c:dPt>
          <c:dPt>
            <c:idx val="1"/>
            <c:bubble3D val="0"/>
            <c:spPr>
              <a:solidFill>
                <a:srgbClr val="4472C4"/>
              </a:solidFill>
              <a:ln w="19050">
                <a:solidFill>
                  <a:schemeClr val="lt1"/>
                </a:solidFill>
              </a:ln>
              <a:effectLst/>
            </c:spPr>
            <c:extLst>
              <c:ext xmlns:c16="http://schemas.microsoft.com/office/drawing/2014/chart" uri="{C3380CC4-5D6E-409C-BE32-E72D297353CC}">
                <c16:uniqueId val="{00000002-DFD4-4176-9854-0331C388C052}"/>
              </c:ext>
            </c:extLst>
          </c:dPt>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hu-HU"/>
              </a:p>
            </c:txPr>
            <c:showLegendKey val="0"/>
            <c:showVal val="1"/>
            <c:showCatName val="0"/>
            <c:showSerName val="0"/>
            <c:showPercent val="1"/>
            <c:showBubbleSize val="0"/>
            <c:showLeaderLines val="0"/>
            <c:extLst>
              <c:ext xmlns:c15="http://schemas.microsoft.com/office/drawing/2012/chart" uri="{CE6537A1-D6FC-4f65-9D91-7224C49458BB}"/>
            </c:extLst>
          </c:dLbls>
          <c:cat>
            <c:strRef>
              <c:f>Pivots!$AX$4:$AX$5</c:f>
              <c:strCache>
                <c:ptCount val="2"/>
                <c:pt idx="0">
                  <c:v>Not Required</c:v>
                </c:pt>
                <c:pt idx="1">
                  <c:v>Not Started</c:v>
                </c:pt>
              </c:strCache>
            </c:strRef>
          </c:cat>
          <c:val>
            <c:numRef>
              <c:f>Pivots!$AY$4:$AY$5</c:f>
              <c:numCache>
                <c:formatCode>General</c:formatCode>
                <c:ptCount val="2"/>
                <c:pt idx="0">
                  <c:v>4</c:v>
                </c:pt>
                <c:pt idx="1">
                  <c:v>10</c:v>
                </c:pt>
              </c:numCache>
            </c:numRef>
          </c:val>
          <c:extLst>
            <c:ext xmlns:c16="http://schemas.microsoft.com/office/drawing/2014/chart" uri="{C3380CC4-5D6E-409C-BE32-E72D297353CC}">
              <c16:uniqueId val="{00000000-DFD4-4176-9854-0331C388C052}"/>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bg1"/>
              </a:solidFill>
              <a:latin typeface="+mn-lt"/>
              <a:ea typeface="+mn-ea"/>
              <a:cs typeface="+mn-cs"/>
            </a:defRPr>
          </a:pPr>
          <a:endParaRPr lang="hu-H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hu-HU"/>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hu-HU"/>
              <a:t>Flagged Discrepancies by Type (13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hu-HU"/>
        </a:p>
      </c:txPr>
    </c:title>
    <c:autoTitleDeleted val="0"/>
    <c:plotArea>
      <c:layout/>
      <c:barChart>
        <c:barDir val="bar"/>
        <c:grouping val="clustered"/>
        <c:varyColors val="0"/>
        <c:ser>
          <c:idx val="0"/>
          <c:order val="0"/>
          <c:tx>
            <c:v>Count</c:v>
          </c:tx>
          <c:spPr>
            <a:solidFill>
              <a:schemeClr val="accent1"/>
            </a:solidFill>
            <a:ln>
              <a:noFill/>
            </a:ln>
            <a:effectLst/>
          </c:spPr>
          <c:invertIfNegative val="0"/>
          <c:dPt>
            <c:idx val="0"/>
            <c:invertIfNegative val="0"/>
            <c:bubble3D val="0"/>
            <c:spPr>
              <a:solidFill>
                <a:srgbClr val="D23C3C"/>
              </a:solidFill>
              <a:ln>
                <a:noFill/>
              </a:ln>
              <a:effectLst/>
            </c:spPr>
            <c:extLst>
              <c:ext xmlns:c16="http://schemas.microsoft.com/office/drawing/2014/chart" uri="{C3380CC4-5D6E-409C-BE32-E72D297353CC}">
                <c16:uniqueId val="{00000001-23A4-41B6-93F9-A4E37BCEF0DF}"/>
              </c:ext>
            </c:extLst>
          </c:dPt>
          <c:dPt>
            <c:idx val="1"/>
            <c:invertIfNegative val="0"/>
            <c:bubble3D val="0"/>
            <c:spPr>
              <a:solidFill>
                <a:srgbClr val="969696"/>
              </a:solidFill>
              <a:ln>
                <a:noFill/>
              </a:ln>
              <a:effectLst/>
            </c:spPr>
            <c:extLst>
              <c:ext xmlns:c16="http://schemas.microsoft.com/office/drawing/2014/chart" uri="{C3380CC4-5D6E-409C-BE32-E72D297353CC}">
                <c16:uniqueId val="{00000002-23A4-41B6-93F9-A4E37BCEF0DF}"/>
              </c:ext>
            </c:extLst>
          </c:dPt>
          <c:dPt>
            <c:idx val="2"/>
            <c:invertIfNegative val="0"/>
            <c:bubble3D val="0"/>
            <c:spPr>
              <a:solidFill>
                <a:srgbClr val="969696"/>
              </a:solidFill>
              <a:ln>
                <a:noFill/>
              </a:ln>
              <a:effectLst/>
            </c:spPr>
            <c:extLst>
              <c:ext xmlns:c16="http://schemas.microsoft.com/office/drawing/2014/chart" uri="{C3380CC4-5D6E-409C-BE32-E72D297353CC}">
                <c16:uniqueId val="{00000003-23A4-41B6-93F9-A4E37BCEF0DF}"/>
              </c:ext>
            </c:extLst>
          </c:dPt>
          <c:dPt>
            <c:idx val="3"/>
            <c:invertIfNegative val="0"/>
            <c:bubble3D val="0"/>
            <c:spPr>
              <a:solidFill>
                <a:srgbClr val="969696"/>
              </a:solidFill>
              <a:ln>
                <a:noFill/>
              </a:ln>
              <a:effectLst/>
            </c:spPr>
            <c:extLst>
              <c:ext xmlns:c16="http://schemas.microsoft.com/office/drawing/2014/chart" uri="{C3380CC4-5D6E-409C-BE32-E72D297353CC}">
                <c16:uniqueId val="{00000004-23A4-41B6-93F9-A4E37BCEF0DF}"/>
              </c:ext>
            </c:extLst>
          </c:dPt>
          <c:dPt>
            <c:idx val="4"/>
            <c:invertIfNegative val="0"/>
            <c:bubble3D val="0"/>
            <c:spPr>
              <a:solidFill>
                <a:srgbClr val="D23C3C"/>
              </a:solidFill>
              <a:ln>
                <a:noFill/>
              </a:ln>
              <a:effectLst/>
            </c:spPr>
            <c:extLst>
              <c:ext xmlns:c16="http://schemas.microsoft.com/office/drawing/2014/chart" uri="{C3380CC4-5D6E-409C-BE32-E72D297353CC}">
                <c16:uniqueId val="{00000005-23A4-41B6-93F9-A4E37BCEF0DF}"/>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hu-HU"/>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Pivots!$BD$4:$BD$8</c:f>
              <c:strCache>
                <c:ptCount val="5"/>
                <c:pt idx="0">
                  <c:v>Duplicate Active Record</c:v>
                </c:pt>
                <c:pt idx="1">
                  <c:v>End Date Conflict</c:v>
                </c:pt>
                <c:pt idx="2">
                  <c:v>Missing VMS Record</c:v>
                </c:pt>
                <c:pt idx="3">
                  <c:v>Status Mismatch</c:v>
                </c:pt>
                <c:pt idx="4">
                  <c:v>Termination Lag</c:v>
                </c:pt>
              </c:strCache>
            </c:strRef>
          </c:cat>
          <c:val>
            <c:numRef>
              <c:f>Pivots!$BE$4:$BE$8</c:f>
              <c:numCache>
                <c:formatCode>General</c:formatCode>
                <c:ptCount val="5"/>
                <c:pt idx="0">
                  <c:v>5</c:v>
                </c:pt>
                <c:pt idx="1">
                  <c:v>1</c:v>
                </c:pt>
                <c:pt idx="2">
                  <c:v>1</c:v>
                </c:pt>
                <c:pt idx="3">
                  <c:v>1</c:v>
                </c:pt>
                <c:pt idx="4">
                  <c:v>5</c:v>
                </c:pt>
              </c:numCache>
            </c:numRef>
          </c:val>
          <c:extLst>
            <c:ext xmlns:c16="http://schemas.microsoft.com/office/drawing/2014/chart" uri="{C3380CC4-5D6E-409C-BE32-E72D297353CC}">
              <c16:uniqueId val="{00000000-23A4-41B6-93F9-A4E37BCEF0DF}"/>
            </c:ext>
          </c:extLst>
        </c:ser>
        <c:dLbls>
          <c:showLegendKey val="0"/>
          <c:showVal val="0"/>
          <c:showCatName val="0"/>
          <c:showSerName val="0"/>
          <c:showPercent val="0"/>
          <c:showBubbleSize val="0"/>
        </c:dLbls>
        <c:gapWidth val="182"/>
        <c:axId val="1278585951"/>
        <c:axId val="1278589791"/>
      </c:barChart>
      <c:catAx>
        <c:axId val="12785859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hu-HU"/>
          </a:p>
        </c:txPr>
        <c:crossAx val="1278589791"/>
        <c:crosses val="autoZero"/>
        <c:auto val="1"/>
        <c:lblAlgn val="ctr"/>
        <c:lblOffset val="100"/>
        <c:noMultiLvlLbl val="0"/>
      </c:catAx>
      <c:valAx>
        <c:axId val="127858979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hu-HU"/>
          </a:p>
        </c:txPr>
        <c:crossAx val="1278585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hu-HU"/>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hu-HU"/>
              <a:t>SLA Compliance % vs Turnover %  (July highlighted)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hu-HU"/>
        </a:p>
      </c:txPr>
    </c:title>
    <c:autoTitleDeleted val="0"/>
    <c:plotArea>
      <c:layout/>
      <c:lineChart>
        <c:grouping val="standard"/>
        <c:varyColors val="0"/>
        <c:ser>
          <c:idx val="0"/>
          <c:order val="0"/>
          <c:tx>
            <c:strRef>
              <c:f>SlaTrend!$C$1</c:f>
              <c:strCache>
                <c:ptCount val="1"/>
                <c:pt idx="0">
                  <c:v>SlaPct</c:v>
                </c:pt>
              </c:strCache>
            </c:strRef>
          </c:tx>
          <c:spPr>
            <a:ln w="28575" cap="rnd">
              <a:solidFill>
                <a:srgbClr val="4472C4"/>
              </a:solidFill>
              <a:round/>
            </a:ln>
            <a:effectLst/>
          </c:spPr>
          <c:marker>
            <c:symbol val="circle"/>
            <c:size val="5"/>
            <c:spPr>
              <a:solidFill>
                <a:schemeClr val="accent1"/>
              </a:solidFill>
              <a:ln w="9525">
                <a:solidFill>
                  <a:srgbClr val="4472C4"/>
                </a:solidFill>
              </a:ln>
              <a:effectLst/>
            </c:spPr>
          </c:marker>
          <c:dPt>
            <c:idx val="9"/>
            <c:marker>
              <c:symbol val="diamond"/>
              <c:size val="11"/>
              <c:spPr>
                <a:solidFill>
                  <a:srgbClr val="D23C3C"/>
                </a:solidFill>
                <a:ln w="9525">
                  <a:solidFill>
                    <a:srgbClr val="D23C3C"/>
                  </a:solidFill>
                  <a:prstDash val="solid"/>
                </a:ln>
                <a:effectLst/>
              </c:spPr>
            </c:marker>
            <c:bubble3D val="0"/>
            <c:extLst>
              <c:ext xmlns:c16="http://schemas.microsoft.com/office/drawing/2014/chart" uri="{C3380CC4-5D6E-409C-BE32-E72D297353CC}">
                <c16:uniqueId val="{00000002-86D0-4F19-9ED8-FC258F9350A9}"/>
              </c:ext>
            </c:extLst>
          </c:dPt>
          <c:dLbls>
            <c:dLbl>
              <c:idx val="9"/>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6D0-4F19-9ED8-FC258F9350A9}"/>
                </c:ext>
              </c:extLst>
            </c:dLbl>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SlaTrend!$B$2:$B$13</c:f>
              <c:strCache>
                <c:ptCount val="12"/>
                <c:pt idx="0">
                  <c:v>okt. 25</c:v>
                </c:pt>
                <c:pt idx="1">
                  <c:v>nov. 25</c:v>
                </c:pt>
                <c:pt idx="2">
                  <c:v>dec. 25</c:v>
                </c:pt>
                <c:pt idx="3">
                  <c:v>jan. 26</c:v>
                </c:pt>
                <c:pt idx="4">
                  <c:v>febr. 26</c:v>
                </c:pt>
                <c:pt idx="5">
                  <c:v>márc. 26</c:v>
                </c:pt>
                <c:pt idx="6">
                  <c:v>ápr. 26</c:v>
                </c:pt>
                <c:pt idx="7">
                  <c:v>máj. 26</c:v>
                </c:pt>
                <c:pt idx="8">
                  <c:v>jún. 26</c:v>
                </c:pt>
                <c:pt idx="9">
                  <c:v>júl. 26</c:v>
                </c:pt>
                <c:pt idx="10">
                  <c:v>aug. 26</c:v>
                </c:pt>
                <c:pt idx="11">
                  <c:v>szept. 26</c:v>
                </c:pt>
              </c:strCache>
            </c:strRef>
          </c:cat>
          <c:val>
            <c:numRef>
              <c:f>SlaTrend!$C$2:$C$13</c:f>
              <c:numCache>
                <c:formatCode>0.0</c:formatCode>
                <c:ptCount val="12"/>
                <c:pt idx="0">
                  <c:v>91.645384615384614</c:v>
                </c:pt>
                <c:pt idx="1">
                  <c:v>97.645384615384614</c:v>
                </c:pt>
                <c:pt idx="2">
                  <c:v>93.945384615384611</c:v>
                </c:pt>
                <c:pt idx="3">
                  <c:v>97.545384615384606</c:v>
                </c:pt>
                <c:pt idx="4">
                  <c:v>97.045384615384606</c:v>
                </c:pt>
                <c:pt idx="5">
                  <c:v>97.345384615384603</c:v>
                </c:pt>
                <c:pt idx="6">
                  <c:v>97.045384615384606</c:v>
                </c:pt>
                <c:pt idx="7">
                  <c:v>94.545384615384606</c:v>
                </c:pt>
                <c:pt idx="8">
                  <c:v>91.645384615384614</c:v>
                </c:pt>
                <c:pt idx="9">
                  <c:v>81.945384615384611</c:v>
                </c:pt>
                <c:pt idx="10">
                  <c:v>95.145384615384614</c:v>
                </c:pt>
                <c:pt idx="11">
                  <c:v>96.445384615384611</c:v>
                </c:pt>
              </c:numCache>
            </c:numRef>
          </c:val>
          <c:smooth val="0"/>
          <c:extLst>
            <c:ext xmlns:c16="http://schemas.microsoft.com/office/drawing/2014/chart" uri="{C3380CC4-5D6E-409C-BE32-E72D297353CC}">
              <c16:uniqueId val="{00000000-86D0-4F19-9ED8-FC258F9350A9}"/>
            </c:ext>
          </c:extLst>
        </c:ser>
        <c:ser>
          <c:idx val="1"/>
          <c:order val="1"/>
          <c:tx>
            <c:strRef>
              <c:f>SlaTrend!$D$1</c:f>
              <c:strCache>
                <c:ptCount val="1"/>
                <c:pt idx="0">
                  <c:v>TurnoverPct</c:v>
                </c:pt>
              </c:strCache>
            </c:strRef>
          </c:tx>
          <c:spPr>
            <a:ln w="28575" cap="rnd">
              <a:solidFill>
                <a:srgbClr val="D23C3C"/>
              </a:solidFill>
              <a:round/>
            </a:ln>
            <a:effectLst/>
          </c:spPr>
          <c:marker>
            <c:symbol val="circle"/>
            <c:size val="5"/>
            <c:spPr>
              <a:solidFill>
                <a:schemeClr val="accent2"/>
              </a:solidFill>
              <a:ln w="9525">
                <a:solidFill>
                  <a:srgbClr val="D23C3C"/>
                </a:solidFill>
              </a:ln>
              <a:effectLst/>
            </c:spPr>
          </c:marker>
          <c:dPt>
            <c:idx val="9"/>
            <c:marker>
              <c:symbol val="diamond"/>
              <c:size val="11"/>
              <c:spPr>
                <a:solidFill>
                  <a:srgbClr val="D23C3C"/>
                </a:solidFill>
                <a:ln w="9525">
                  <a:solidFill>
                    <a:srgbClr val="D23C3C"/>
                  </a:solidFill>
                  <a:prstDash val="solid"/>
                </a:ln>
                <a:effectLst/>
              </c:spPr>
            </c:marker>
            <c:bubble3D val="0"/>
            <c:extLst>
              <c:ext xmlns:c16="http://schemas.microsoft.com/office/drawing/2014/chart" uri="{C3380CC4-5D6E-409C-BE32-E72D297353CC}">
                <c16:uniqueId val="{00000003-86D0-4F19-9ED8-FC258F9350A9}"/>
              </c:ext>
            </c:extLst>
          </c:dPt>
          <c:dLbls>
            <c:dLbl>
              <c:idx val="9"/>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6D0-4F19-9ED8-FC258F9350A9}"/>
                </c:ext>
              </c:extLst>
            </c:dLbl>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hu-HU"/>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SlaTrend!$B$2:$B$13</c:f>
              <c:strCache>
                <c:ptCount val="12"/>
                <c:pt idx="0">
                  <c:v>okt. 25</c:v>
                </c:pt>
                <c:pt idx="1">
                  <c:v>nov. 25</c:v>
                </c:pt>
                <c:pt idx="2">
                  <c:v>dec. 25</c:v>
                </c:pt>
                <c:pt idx="3">
                  <c:v>jan. 26</c:v>
                </c:pt>
                <c:pt idx="4">
                  <c:v>febr. 26</c:v>
                </c:pt>
                <c:pt idx="5">
                  <c:v>márc. 26</c:v>
                </c:pt>
                <c:pt idx="6">
                  <c:v>ápr. 26</c:v>
                </c:pt>
                <c:pt idx="7">
                  <c:v>máj. 26</c:v>
                </c:pt>
                <c:pt idx="8">
                  <c:v>jún. 26</c:v>
                </c:pt>
                <c:pt idx="9">
                  <c:v>júl. 26</c:v>
                </c:pt>
                <c:pt idx="10">
                  <c:v>aug. 26</c:v>
                </c:pt>
                <c:pt idx="11">
                  <c:v>szept. 26</c:v>
                </c:pt>
              </c:strCache>
            </c:strRef>
          </c:cat>
          <c:val>
            <c:numRef>
              <c:f>SlaTrend!$D$2:$D$13</c:f>
              <c:numCache>
                <c:formatCode>0.0</c:formatCode>
                <c:ptCount val="12"/>
                <c:pt idx="0">
                  <c:v>3.2453846153846153</c:v>
                </c:pt>
                <c:pt idx="1">
                  <c:v>2.8453846153846154</c:v>
                </c:pt>
                <c:pt idx="2">
                  <c:v>4.2453846153846158</c:v>
                </c:pt>
                <c:pt idx="3">
                  <c:v>4.5453846153846156</c:v>
                </c:pt>
                <c:pt idx="4">
                  <c:v>4.2453846153846158</c:v>
                </c:pt>
                <c:pt idx="5">
                  <c:v>4.8453846153846154</c:v>
                </c:pt>
                <c:pt idx="6">
                  <c:v>5.4453846153846159</c:v>
                </c:pt>
                <c:pt idx="7">
                  <c:v>2.5453846153846151</c:v>
                </c:pt>
                <c:pt idx="8">
                  <c:v>6.8453846153846154</c:v>
                </c:pt>
                <c:pt idx="9">
                  <c:v>14.345384615384615</c:v>
                </c:pt>
                <c:pt idx="10">
                  <c:v>3.7453846153846153</c:v>
                </c:pt>
                <c:pt idx="11">
                  <c:v>4.0453846153846156</c:v>
                </c:pt>
              </c:numCache>
            </c:numRef>
          </c:val>
          <c:smooth val="0"/>
          <c:extLst>
            <c:ext xmlns:c16="http://schemas.microsoft.com/office/drawing/2014/chart" uri="{C3380CC4-5D6E-409C-BE32-E72D297353CC}">
              <c16:uniqueId val="{00000001-86D0-4F19-9ED8-FC258F9350A9}"/>
            </c:ext>
          </c:extLst>
        </c:ser>
        <c:dLbls>
          <c:showLegendKey val="0"/>
          <c:showVal val="0"/>
          <c:showCatName val="0"/>
          <c:showSerName val="0"/>
          <c:showPercent val="0"/>
          <c:showBubbleSize val="0"/>
        </c:dLbls>
        <c:marker val="1"/>
        <c:smooth val="0"/>
        <c:axId val="1278590751"/>
        <c:axId val="1278591231"/>
      </c:lineChart>
      <c:catAx>
        <c:axId val="1278590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hu-HU"/>
          </a:p>
        </c:txPr>
        <c:crossAx val="1278591231"/>
        <c:crosses val="autoZero"/>
        <c:auto val="1"/>
        <c:lblAlgn val="ctr"/>
        <c:lblOffset val="100"/>
        <c:noMultiLvlLbl val="0"/>
      </c:catAx>
      <c:valAx>
        <c:axId val="1278591231"/>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hu-HU"/>
          </a:p>
        </c:txPr>
        <c:crossAx val="12785907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hu-HU"/>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hu-HU"/>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ln>
              <a:noFill/>
            </a:ln>
          </cx:spPr>
        </cx:plotSurface>
        <cx:series layoutId="regionMap" uniqueId="{7D511553-E0CA-4592-871A-0AE8F4681B43}">
          <cx:tx>
            <cx:txData>
              <cx:f>_xlchart.v5.2</cx:f>
              <cx:v>Count</cx:v>
            </cx:txData>
          </cx:tx>
          <cx:dataLabels>
            <cx:spPr>
              <a:noFill/>
              <a:effectLst/>
            </cx:spPr>
            <cx:visibility seriesName="0" categoryName="1" value="1"/>
            <cx:separator>, </cx:separator>
          </cx:dataLabels>
          <cx:dataId val="0"/>
          <cx:layoutPr>
            <cx:geography cultureLanguage="en-GB" cultureRegion="HU" attribution="Powered by Bing">
              <cx:geoCache provider="{E9337A44-BEBE-4D9F-B70C-5C5E7DAFC167}">
                <cx:binary>1Hxpb9w60u5fCfL5lY8obuJgzgAj9eotdmxn+yI4tiNRokhR1P7rbyltJ3En8cHAwQVsBGl0S00W
66m9Sv3vm+FfN+ruun41lEq7f90Mf7/Omqb6119/uZvsrrx2B6W8qY0zX5qDG1P+Zb58kTd3f93W
173U6V+Bj8hfN9l13dwNr//zb1gtvTPH5ua6kUaft3f1+PbOtapxT1z75aVX17el1AvpmlreNOjv
1/G1kl9MreX161d3upHNeDlWd3+/fnTf61d/7a/2086vFBDXtLfwXcwPAkoYE0j4X//Q61fK6PT+
soeQOGCIBxwRJL7+Pex9el3C97/T9H+vrrRs7m5fXTTXzZ17uO1XJH4l8Pr2tr5zDk759fXJpR6d
EO787+tXN6bVzczbFNj89+u9vaUz8e6G2MzHvLr4ype/HqPzn3/vfQCc2vvkBwD32fpPl37Cb6VM
LW//IHhBeEAFpYjdQyPEY/DC4ICEHJMgxDtw8QMqO/DuCXo2cr9bZw+21fGLhO3sTms3qu76jyoe
8Q9CAXoX7pDx/T3F4/wgxGEoOPd3ehc+xu5Hqp4N4JOL7aF49jKV7019lxr9wMNfWaX/zXASfCBw
yEKG2Q6fPd1DgX9AaYh8SvjDrjut21HybMx+s8weWm/evkidu7wbrp90If8bWBgdEIZDEiL0Sy8n
xAHGOABlC36pbF/JeTZiv15lD7DLDy8SsDeZNA9i/geUyz8gCByb+MH4/RiVgGODKxhcG/+lY5up
eTZcv1xkD603mxeJ1uld/+qjqYs/iFgA5lAEBLToGyI/IsbpAYMrlCGy0zD2sPfOKD5Q9GzUfrvQ
HnKnH18kclulpDbyD9pGCERQQFCI2T0ye44sFAeIgJujIf3m6HbZxw65B4qejdxvF9pDbvsyw8iT
63pU1/r2Qe6fbyVxeCBowDHdQ4wzsI4oAH28R3Qv7H+g5NmI/XahPcROFi9S19Z3pk7/aLIdHDAS
BiERvw5DQnxACMGc+PdZwR5w9wQ9G7ffrbMH2/plRvqXkK9BYeHu7g9qGj0ICYSGfngPTLCXaLMD
THAwF0q+xZc/2shvJD0but+vtAfe5emL1Ll3ElTujybaUOGiKAgFZvxbbP8oMgkP5iycCv/++p7S
PVD0bOh+u9Aecu9eptqdmrrJXsXXtYEI5fqP6h7FEOtTfF8IgXT6EX4Qn4QUUnHGdrq3H1k+ouvZ
KD4+5k/L7WF5Gr9ILZyD6MO72t2Nfw7HOc7EwhcU3zu/PRvKyQHjIYVy+n2YSR72/p4h7Gj6iem/
L4b/utL8/Xg/LbWP3+GLxO/k2rnrm6x1d03jHtj4/ICTBAfg4TCk3t9rko9UER0wn/oYh3slr0f0
/MTz/xW+p1fbQ/DkZVrT99cug+5S80dLlhyqKghTHt57uj1LuitZQoTqk52KogfR2Wngd5qeDeET
S+3h9/5l4vffWk7mj7pBcgAZXRCEDwWUffAQKB8jVDC684N74N0T9GzkfrfOHmz//fQiDWdsoEd3
ffsHS5lzki5CSn3yPTX40WZCg+AAWgRQftmLOx9IeTZiv11oD7L4zYuE7ETeZDK9/pOtHXIQcsIF
D+9DEWi9/QhZSA84BKNgRO+v70WcDxQ9G7nfLrSH3Mn2hSI3J+qmuX5wM38gQpkTcYEIfuirghX8
ETpBDpCAbjgY0odNd77tRN7T8gdA+91K+6i9zAz9RDpn2lo+8O/5oIGJhOScfgs7/L3MQMAYA+eY
o+Be3+jD3g/Y7Sj6A9D9ZqF95F6mpdzqW3n9R2MScTCbQBICdl//wIX9qG0hO4B4BezkQ1NoD7h7
gp6N2+/W2YNt+zIV7r10N0Y7+Wc9HMMCUnF2n8jtdRCg58OhHU6p+PXg0DeSng3d71faA+/9y/Rx
sQFvcNPIm7Z5MFrPN5gEHVBOEcWYfis3/6h3HNrjGPoMKNhTuB+oeTZyT621h118+SLik6dHCn+s
Ujy683+duBQHUCKhHPo8vzSaMIviz93Yb927vTrY3qTj78n6de1r7+uPTvL/aYzy9yOW3yZVF9fN
9fLriOsPU5ZPX30Yz9z76qsfGfRILh/0cXv792skKESK3yZn5zXuv7gLMf5bF9fafR9J+v6du2vX
/P3aA4sJyTfzYRiMMOg2+JAT9HdfL0HMyRCDWb+AcJgIowIA1XNRGqZvGcgCEwEnwg+gg8RBXyG4
+noJgxhAYVtA54KLELT523DxmVEjzLJ9Y8f9+1e6Lc+M1I37+zUNIYaqdvfNtFIYfIJ/2KccwWAN
UApEVDfXb6HGBLej/7PSBqQKWrKlKgzjlnrdaa2bbj0l2XCoUks3k2fyMTZ9P95S4/gxLYhNIxip
6t8a0/pR6yrvWnHlnxSUiNNJJ/iS5blMI1YxvUgd4aeZ6tzbMe/kZemoWhdtJ7dlytAnUyXhUuU8
PwwDtmxGZz93Ls83gxfWMpJ5P9SRa6vpxq8KL5ZJyoI4GYrgonayOBRa6aOEY7VusYvw0OgTQwMZ
C5WUCy8vs0PUuX6rZVmWcekxvAi8lB+Wtq1UlKjhjalCta5UKI5Hl3Z5xNkQnA9eK065LPwTNEr/
ZMSj10WdwXYF49BqjUyQfkBCilPkFWdoYO1JEqDLyR/NArGkjbQlwot8W+EveByzqC9HFoeo00Fc
l3VzJkZEIpRzvMSEDi6qlWzXVPnVbd/DJrjGRWRlrda6NcWVJTmz0aBIvq7KId8I1zSLnvTlwucj
ihsUtO9NKJM3TZv1542R040Y+/GDrlt8nhbhuMFjXp8ynA/nlAFz/CCQK5vQ9sgfmP1c4nZYdDrl
q6pT3ZqjAo6RDkNECq02ne6DyBakvfUEjmRNxxiL6ijQ6ZYk3rBspfKjwjd64WhyUhZVufVCb6sK
XixSa6b3pKvt2tqOfklFbiKXN/KoYaRfQwiSbIMyK8/QxKdgJby8OMxGl3hLPOXtUUXG/F06SvGR
W1Yuc8mqw6Ri/UXV9fZSJESeTD7zT3rnD13U1li+TxrijvPWVxfEkGpdQs9dRL01/oYOiudRoTA+
n0YuT9KUTKuRc6Uirwr5Wy0r1EW6sSHM3ePumPXSPxM1yIpJG5bE+UTUTTsM1WnCmNqMQ4uPWFOp
dVkx+bENufxgqwyd6rSi52Wops2QjcOp73X4KOip2dStSd80xLjLfMIiHkqntqXXbiud9EkkNA1P
A1sFH7VA7MSmpNhKpKpNnitSRmXh1KonGX2jqv4oyHoC4mjrjec3yzZLm+usDf0xGocCLYMq4dcW
93fUDuU2HasuKseSbo1NyIqHVbgYuQ7eYVLcjD2u0thLSfCRh/rSdHh651w1ridf++cmY0xHQ5Z4
h9RzfhbB2Kt/mnWIorj3mL12SZ2f8bSwKoLxL3EjkzBb6w6+lE5SXYXSL+MOe/XS74ryKE8BxB5j
uWWtYouQqPKCY9d8xqHo6qgp0CUUvbdp0LND09u11iGLJ8ZLHUmVF+cYIfWWJmrDxr45ZMmkt6Qo
zcJVbRG1YCw/NkbILadlsholtgvumiFK9JC/rZxP7qbBmhgXeRZP2VhEeUWLD9z3hiuuK++8CkoT
A6Dcj+qsCBaWoerMq4dVr5g9snUX5rEQK9rk5TpxvX8CE9pqbdV5lyTdBy/pzaJgGJ3nfoo3GoW+
i1Xvd6fa7+ob3IxACfEXvT/wtUH9sOwUar1lBtHah4aPtooqf1Iy6vlolnoa0zeTM8XaG5pJRuNI
eVx3AxNx6PUmSpNx2erJuWgybRsuhOiu0mkkeaQKUS1UnVowc06qSFS1f5RWtjoZdeIvEfI+5EFR
h1GaTngpleARWAA/FrVmsfLk+yLs/a3ynb80fm6jIC/MZ8Wy6SgxmTinZci2ztGhjKbUa85l4xUL
znVMdeWuWc6Hde7T8Mx3rGziqsT+aRcaPw6TclJRECq2LLER7wR4jdOJZNn7OiTyuJy6T2Jq2AY8
4hSPuetOXUokiFKfH7uc6bgZPXFctqQ+a/LEnuR+b995iVSnriirpUEuXSFh0sUUZNWSOovfF30Z
bFgDp6yT0KyyIQ/uJp62Jz0V1TXBdnYu7UQ+ZKWSV02AOhUxWYgVzkW6bqesWJox7WMPJdkZQhKM
uCA06lI7XPgtsF5ndFqMY1Mt3RCERzDaQ/PFoEz2BvO8B0FDfSw8Qi0g207rMcXtWsuh2RZiqq5U
m6wlqvJlMSbTWdFhsqy6zq+isfGnPG49TSKaDitmTXeKujQ4FCgtPvU2KBZ9wMKoQ+BuJaj4kUuC
asNROJiosLX4WDAmF6Xu/Q8qqZMNWKZsmzTBYgwYPZva3LupYHj2sGpCb1Wm3L1BUqstJV6yYiR1
52rsw6u0D5MV8q1/kXXSh+144sXj6LEVznh9Wo/2s3bTeONPLZj/tm4mF6mBpOsB92gx4RBHgfOO
qPaDrol0LQcbtaanpRch3foSLJr0z6EeV4Pvz/P0sqUQiER5a9UYayyac5tatTEZqHQ0VLwoosnV
vY54Etovoq6KbaeyICJD7x3LoFyOoS7Puk4Xm4a2H2lN0whsrc2isO3bz0XDPlKZXftJ+4Wr6WNo
hrcaTWXsTX0F+9lyW2s+LmsrLwObVodVxvllVxXBuyLv9Q0WbHhfJ/DFTjMPRF2OTV0cVimcoj2s
rLNds1ZssBM7gVBLpyyagsKnSxmYhiyZkdnxEFC+aPuhDc9sY0f2wbHkSytHHG5U1wNw3pgF1crr
pi5OjL9uR4h61mVWmRNZWc98rMCAQuwlugUakmJlizEtD0OvqBeuz4MFBHnFEUpHfQg1Ov6RjtR+
8nmS5mfJkKkjnlFUX7bZlCVrNRVq0vHg+sm4KG1ofhtmg/OuqE0GukRZl+jIeLIwW8slXmjPH9e1
MHrVMffe8bSP6iFVC38EJJuUvB+8oN8wWfF4LJv2FO4cVkJxCCdVdihrctyKIEwj3zM0KlLwMh7v
vA3EIld6ytQyYwE/BA/iXWSeTI8HrlCcajSedllqT2tA83Bq+qjJZH9NCjEe1oJ5kSNeu0Z6GCPd
zuEWnoI2gtJGfSTltkhWBWfjojNJswkVJnFhQ7l2jPrxmJDzcsrcIrdeup1I2mzbJEkO6zKQh42f
HjOkVOxzVB1nCWsWY8rtpxYzFYcDHdfSdnKVN04svdRPlrVUZtknpBoikxXgyJLKxRRg3rR+FUSN
Cso19RP/C2kTCKOropKDjKAWjW5ZqFn43vmt5u6mJdwW9CqxBCKOWFolSxX9+PDao+j/xlRjLdPs
/unCb2//c2lK+Pf1abbvH84PJ35/B92F3VONT94Fs4JzCuT2b5qTuG9rfX9ubs6cvj1Et5eK7Z6D
/E2e9uTFR0nco5T1xyQuIJDU/D6H28t8d3nhnBx9/d59HsfYgeAYM2iSw4M9iHzP42DyYR4kgxlA
gSGDYiF0he7TOI4OMPTwIGe/r7nc53AIen84gMcYBIKMQcBTlP9LDoehmvpDCjfvCB16wRAOOIMg
DDLCRymcQnmtUV/QuxAlTSsgBCSVBxJcdXJ6R2lbFdfEq6lbaTu6kSyaYKDZEHsm8T+nuibai00w
FPxQZHRsF4XwtN30olTuRNGy8sbIFAOtPtOiyQez8CACznGcck7QHR/M2L5VGSjtdRjSKrnBJbbs
NGUS8p+oRNIBKaSidfkmQ37TQ0KoaF1U0ewOymME0Q+QnJYlGo+CEuv8i+c6A9/5AdJfJLrQBX/E
I5hMCcAHwyz7/Exr4O+luRyVss1YFt5BqKZzu2lKoshGkc7VfDO5tJF9PMkKHrRVfiKDZPX09uhx
mk0YPEIEj6XAcxAhOAsExDzGaMpx6KBKIG9zVOBCxo3BFENMLQLP5qt66NO6WdQZWNMs8og3Vfqs
J3h0QYzIxHp82LBMuyIyxuIanQoaWrj2NJFQiviRRxwGdDBM9MNEJMwSzGL5mMYhk16Q1di7ZV7d
+cEihYiJ25UKSYN98OINY58KsGUNlGS/qds/YzPvSwThQUD9AAzf/r5VOxpuPBzepiPIHIsgEFLu
Q0YSyDKjPpetfKMTeDS7ibLMBAHbmcXdI72/2B5q2nvH5vAA2JwLEiiPgA49PnZKO+n5Q4ZvPa64
xTHtfUavQZG8ZmsmydWp9JBBJ7iwY3tRON+fsgimdBQw5WlG/ExJyENGGLRNhA91Pv8xJRnPEpWP
fn1LWA8qtxoRm1CxonXfOrKUYULYJ0gkg8BGjnHOPhl/7Gqx7KTxq/4fUIES02O20ABGfqAwBYMj
AA3ek4aGST8fC53cJGLStF4bW5WQeXhJ6cS4HsN6ABF5+vxoz5LxedoW5qVnRYW0D/LJxwxIxZRD
fN54nzNZ89LbDE02K0Q5mAwe7G77nEwklqUbgyoaRICBEVT6WXsBaTg4V+2hWl8IqCnUemGpqYO3
ZSe1+/w0mbM9/V4yI1Apwz4hPqEIiu2gLXu2pO2TsPbtNHwe6qYGIfDbwgd8/KHH1IuGGnfeRRUU
dlaapjfzi6zS9h/w+YlZCDEOTy9CVhQSKBTtkxHawEG9jJnPWlEPbHgO1mvqo270m5Ee4YSC3Xdp
CxXMMqcaLGpdlTWim9DLvQ4qTBlY29nyjxl8S8tJdUdkKCpT/oNZQftiDb8VAH3cAKY4A0CYsT3/
BDmBroSe8GfIVZgHpZzGVao9s1MjKx33drRAnMfLDq6Z0ZZmXITFNHoXfVUlWydqladxOUGB7ajM
rG6SSEOdNWmgWul76i0rRQqxfIDFACYx8PIR6UN/EgpWLWTSW/sPaoqgBPxIAGCgH57RFsyHoTkG
T9rvWQyQTG073VWfODU0p3Hlw/yqjZKkFaKOoZzlgWlPxp31VC2Ba+1Xc1KhJIRLQ99gZldtj/9Z
h8i+FQ8g2hCgSAgFMPz8k1gUQ+HKJDPVp6oGLbJL7IqQnAQow+MRdu0I7BBJp6Z3ZTaMI4/arO5t
FoPB79nb1E6Jt6lLkk/vaq917DSUbA4QBtKVSkDhls7wGIcFiNDYcdq9req8mN5NihV9EflKzU5L
AvcBIKNFBh9iiFWnd2E5DIAdpvkIL27y0yZcVNRht2K8nbErhlRCgGG/bi/C1Bv7CHK1HJYwEDwA
5dLTc2zQVLQsrgfHtK1WUD5C3QXBZmqO67pI6kipsg4gu0uTctikkCSmH3WoE/Ku8zsEQsbDFOKM
zmoDIcrTtmHfagL3uc8h34ZHUBmMNO+JBk5GnSJRqU8TKl2dRkPg88pFvcmN2uLW9mAont5x3xpB
k4D4AQK/jSDM+GlHV/su60vcf8RTOwtj35LZ/AWOF+C8WWcp+5TkkB3ZqA/axqUnHAwLyOnTZMwt
xEdKgTl0Mjj4ChjVDghEyY9t94S71nqCle9KossGR42BZsKdsZkFa5QVTiOoxXAjzzoXpmBxqoya
dJmGTdCZKOS8V13UBKk9UknILgZcq3CMXI9Y9xZqFb6MLZ0GcwRCBLXI3CeJrCKSMDQre+aDHJou
g+him+RFM2t+Ryh+E4C/r8YIFzUeuvXTJ963ayHMM0OtfD713JaDnODxiQuWZLq3jl91rfYhiKV1
HUAQ202z3BIIssgmg2IfiO1QCAwvafM1svVYNYs0bvM+SC6Sgc0iHVg5lfVGVgGeTaSdnI9WVnWV
k+uJjgVoXdKXc0yNxrAE7eTIgho9faRgz7KFEAGF4DbBqgGC0BjaM9UW63IyuQ6uwibDoFtNlc4E
NB5uZ9X9qscwzzgCbdAfmlUcbOVsUurKgqPxMgRhPII0GT4ytnDFtRI5JxvZq5kPduwNO03sAHfJ
DM9HhCoGc6vC4zVeVWHdYReP4C/guP9wtL0MAI4mEPzkCQwLwUM9BOK9x2g1UBznqjXjFU672VI1
tQXRmtQkzU3jh0Wgofpm7PSOB3r2j6VnEAAysFKl43IqGWrSlcBe219BlFoDO3qeY5A+3E1gTbT0
BIgY6VU1W7cWzOZGBlUPZq2BiAQ2lE3iwzvIsRCwokwJsKJpeOY1MVVtDiqRiSCHdzv+zKawuH6a
CXs6GkK4ANEVD2gIaaf/U6iL+omwkVnvsiu5AeuwC2+DLBy6IobMMkv1P5mFPXc0b0lgHCHwwS35
DKKmx2z3cwNRazXwS9cikJBmhCcT5Bp8P/CH5BUxdJn0noE2GFN4BIYrqD5ByAJGD7jU14Nqzjhz
YZKvoL0TgjEAheze1jD3AB6g9EDxm0GDo7qHLbW9BlYOKtSgK6BFMxxpMcxAeLlE8CLGXHRvfVMa
oIQWBfimgjVznvo0t4nAcLgfIkU4/OwEwEgg+JmknzMqCAcdFImG8TLLRqaSqGkLXMVJ7yf5KQsm
Uo9Lm9WsCiMRBCLPohpKkPbQVy0eaFRBtOMd1WnpkZOkhGZBbHszpDc+9Nw2fdIStii4NuqW5Gqq
35aGlfDbVBNS/RvSIX+YFmGuBa1iC/Gja1d9T0Po7tosgWIxK/0SHUMFFomF1rVAcT40bZ1EZgjt
lEeZ7moyxOlQdKAM3VT3o4oGj+YkX4kAteSCqWYkaewPCGqs60r0GUogfkugntZk0FpRMZ9UP02Q
1oIoVtsBit1tZF2Vs1UneIoXUA8epsuemUC+a4lKkwUmUIuPoT8qzBixFKpsCyGDvohTqtINPIPS
LKCd10NDQmjfX6MeZcEq9VyY+cuqMCW5GmmXFt6VMP4wXA7NgJsTzzXaewseg7e3tGasvpp4l2oT
VcagzJ2LYVLFOpFQ3VhNhoSliURhcJDFvJ6cDT+jMg/1LZRnTTdAn6cZ7Z1om77340L1DuWbJtGW
hgvIA6hi66T0CnYqEPeKYt2xKnAqu8tCjRvg8oBwWJOTCZsORHpCtauyc5jHapi/1JpUFd+2IpGZ
OtZ0KGy6zLu06bvjniaplKuElH1L3yY6wHbLcpKl4QpkhUHLuOomH9y6cqHsRZR6hNlmkSX1lI/b
PnVeJte9LMHbxIXoCRjYrpIt/WC8llG3BeHovSTuMYQt6LStIOoSUQPl6YG9UQHn8NLsPvSkVHAN
foeDwHZQQib289RaEXSHOaurNNigwfM4FINzWrR8PegcQS2Tkm72iz71JBwnxRScyvWQjNAHjnOa
CZq+Gfuqr/hZnnh5r1a8wF5QbYt2FGH3huWYShFZIeaaBK8bmhXveJok3nREiHLAKW+0YLJPwGrb
jB55OKm5OkbSQif1LM/7PEyWfQ6GIF0aCY+k1TGYrJmksfOUHyz9NBulXcCgQV6HC934HtUfgjTQ
sF+ZKyGu2jS0Nq4h9QbOBmErwYPEiGXzIkA/hCyRtWKO6Unm4PQxtIQ1Zqs862eOYdUU8GJc1ngX
uuSzySddk4Y8Fn1jQAAmDfHGuhF1CfdVu6NmDZ2AfTbn8Ae+xCWwm8oQJJkayRkeVJEsoO+RGmY+
ayJyqCV5rVcDFJ4uwozcWQsJjV3VUkKkFfchGrmNZZjR1gMESWvbd02uW6mBX142mXUGzTE0nIQ5
n0mWgHQ1XTCQLNgBwyX7Gbr/s4Cx2puRp6MHnylRzqzpOgS3gosNbQ80dDDECGe8P09dY2w/Q8Et
g8/oUBl2AXMjicAx6QUUgKKKZwh4cS89yeQELMlzbz5c0oxfmdGC1NTxfYwr6ETnd9jRAvovsvYu
7lnt7W5/YPLuPqgUBMUJD6oSCEDay7rPBQwXyHotNR7h0DaY4CcBozTAqfQvIAFPjYjoDigzdQ2I
GmTebZ1uNRJjQiNUZN3I3oiyNcClLigV3BJUUGOrYyhzJJ2AEYlxDnrTkgbwoeKpbz+LHQdNBRoE
dm13piyQkKPFldGsR5uxDefs3N9BuxMPlhQK+MOIhG8sKVfz4Qc2ZiCnKarnbTKSMfhwNNbn2dXk
SdI2h3BSPLN3J0gTNJiASjjkvAqStYPvwXgaBulyTTaTvmMo9MgmeGMUNoQvPWhvFfl2gm7WUK1T
H4pI/rKX0NzrjkWezpUPB0Msn2XHA/sZsVSD+DgKESscvu4g2H3joJY9Lxh08wvp0hBelPZndSgn
OtOvW5Zm/VWrUpXKlU5DWDezGEFzvXAjR80R3smKzJ1o+Pqe5SLvaiBnkLiARcADGNg8r2QBfr5D
0J3zryByy8NuAR21RsMojEsT2JzmGfy84qJRFdQ2FRQMoGQDMGXtlpt0VucW/Ct8Vowty8NVAcHi
MB5i4dRgNjDU4cN0kRJElV2UOOiMb5FALdyfNdbBCwSNVJ3C0BH8P5Y91O2o3yMoFVmo5avTrmgS
KAr0dQ67oyw13TumkwGygGScZtmH1jODIvGAbQAWJqwz1cLMVAkutlwOnk6E21IBrmr46LMhB3uT
KmOKYnNfTs4bldX5qs0U5Ls3I3EwrbGp8gzYscZfdcYamFgB2JO+SKZ3OAtN31zBDEnWs02zO/og
UgcswtUwFXCiIu0dXbLJR2DlmprM7ENDNUsN1KtmEd/VT0NX9MAB1AbzeRspA3ipQcDhfiuh+ujB
dMcEdWVBgkILGL6QIytPcIVquIONaM5hO9o6kKtdkWVCVNXJqtW2ToJtmtgJ1ph2pbcE0nKoGlo6
dwnXCSog9S1LyJ1ghEBBYYIelQVMM0ArkfQSivAwHdWAqcQsGcHnuREsTb6CXG9mXivxXCoI2rCA
WnyudApfh19ygVN+7CE8g7GYPnF1LU8FzucipWnB3Z3wIsGsOSdQxhqT5ZDk0NZdsb6iyi2gdIEY
iTgUgdgnkmIEKTk4QwHgTx6Z4FRMl7PbKGkyi1sd1AiEb8fJvDFQicbSl7g77CcYc+HnxdT23kUN
wTRUFabKCvYJ7C3Il9dXE3AgJ/58hqTSMK+zgvRyrlIpCfEqRNaiNP3/4+7amuPEtfUvYpcQEkKv
QHf7Ftux40ySFyrORdwRQgLErz8fcXad2MmJa+/H8zJTNWObBqSltb5b60+x9OUYPrK1jdvrOB61
L46MDpMNvi9VWK/FASda1PJ0aoF/B1nShsK8ByK5NPYdUWOtVFZwH5Xr3SLQ24xf5VzNI/04FQmg
iZOB1K+TWUC3qXm/MUfZkDqcDpBs2TAc0FMKwaULHVZ5V0uazfiPoIdTsYCZWvOfd/L0LkddAyDO
OIciD7f1o9y07bzXP+nVXk3Q/e+bt5q6/Sf6H+h9UdP9v/GQBPgJr/z+g0UEdKI7YHLfuY2qLTS2
skK3WFxv1of6UGOj7rtSdvv/+blk0VOiEkkOsgcUwA8Ifi+ngcrM6k0k0pAakty6Ehz5kC6kB2DP
/FZIer6M0EWWaMu2HQ6cwBPhXxBcoFqMG8H6ZgT8wzVwy/2TNxWYxk8/L8SNxJE2YqkE908TW1/V
m4CIqdeOvW2eClbzBDSOiB7EagjacQchJxMbxvJOdeNQpOUYu+DeVVzjnu0CFm++qKja27iSrbiG
mNv9Y7kfGy4YGpwjKYSC+ybXdKcZ835Z9zUpCggcqpSXU991h7JusRuPTw8EOPBe9BpER+HvsikM
6suSRpADvAJ8vRjogeWgPmAFUxQ3CGlfwsqlBYcAvJrel8MQ41MLpVbshmVAmR0Dtu+gdgbwUqZz
Ne6f/ZXp7vlst18evloIBp6SVl/C78atQ7BMAlDVU2msgQHjU2AOwE76+6VeAOjYTQSacFwLkBX+
Ge9j/S8a3SWBeKFAK/nvNUKadRiyUReM3cCuuK9uGZf7S3VVjTc8MMPwyn4Wx79/lucQAicE6yeB
xSCJQYdjndPnn6WYIwr4tlb3Eqxa/Kni4d6PTxPyZg/bgNb5tef8+wURsAPgIE4kBbgoX+CKTWlI
2HakuBvXHgeFanDinwsPeQdgzR87++83GO6w3f8O7fsd7vGBHLayhIago15ccG1rpnrbxnc/K8ZS
bjto7+PIc35c2ZTMx1oXm3nrFkhr885BqviJRQalIZg2hvPolU/0fKXjE2GUSiQOLyE5A0T3Amj0
kgRQBkbjXfu0qRb0ddjjq2sK1PUqmSu8gpI5j50pIxwOaC2Ccv8gtY5Gt2XziMn+yKG+4yRdUVp8
hlI/4sexP4rwGjIkzJPZ8sRn6acy+/ebePka8eLYrjMHYxJCv/6SZcW5O1q6Ql1eTs1embYfjZCe
eO/e+iBxDOlufyOV/3Q9Tn7mQO4ZMM/XqYBWFy+YuOufx96qyrFOyYDKOqQQj6v/CFrjkAMlIVKg
sDFgjWI4x59fL1oKINFzVV8/HUtokve3IZoW+6Kfxv3A+PsN7n/wl2WKBQH6afc/Qo/CgGi+wDMX
v62V2XhzJvrANDwTXSeiT7HBhnltC/5+Kby6BAwewq4wZL68t66gnXcqVmdPrcjMgY5gHdGxw7/+
flc/pRi/3BiwQlzqhzcQiWcJonSfP0lCwMtAtTidzEZJOR0oX3c1goOT3g3fp60Hh54NkwK2KtOu
2DAtppYrG3aXOK0hwVHZ0GggP1eUAXsgt13BlRrOPHoDPlwXa9WEq88KCsrp4zSOHcYgU1PWj4eu
dRu1GRlIPHV5YjigtqtoDYcohmr/B5/XxBhGopui78JxfdOocpaQzLg5rkJgIjWkGmcYNETV5W1Q
a7yKnw2KCPBrZdo8tRXo0BMcFvGPMvY0ajQLQeleyo6idGM03NuAZaYBGtqBJpgTeurwA2ixYieu
o6ndm7ngqQJqkKPY7UQnIQTDzWS7cEv7yci+ymMt2tql/4Y8RhybZfqzkfnRQYFZW/B8tzHZD3Ex
zkCWMFs0MT3oZMAluwZTxXxBwFZUKmuhXcc8BTy/rduHCG2vjK5jbyXT53VMgh0MmGYDnBUy7H0O
k4ufoMcuG9cBdgUCI8AypHVpk6HIAujiF9KlIzKvOb2Vo9RiOagRpprxHfdy3oZ34Bt2Rgs9IKHx
9WAnkAjvKg20WUF+zCAnOJZmDMM660I0nd89Rs8pueDxutBPIV+9Ta4BmxX6bS9l3dBD3U8BwSRM
MC/ZDI4ccOmHfvB4t/my0s14aBWBTMwZWrOQJ5lnvliuGlgvpg12jXqpME3LxIAXrUoynRhp7fIY
k67xZV4wNNx92om+Mx96IC+Bg1sm3im3n7VoBB+u4qukQ92uj33ZxtShi/7RZwH43vtE39v90Hla
Gu2PbrAXbYORzUgoYnQ6GxJ3ISqZGgQ+Bm0ami5NMMt3KOJDcq97GbTHruKKp6VSyz33FSTKvlog
PWZzdFZBMXnemXU+A5Ix3AkDZ80qeQnni20JMOPZvCuwqM+Ygu0nxe4rH2uj2w+KVEO+yrDALNpG
9oRhF5AS7fllosmnocF27Bcd7x4KnQvIvPF2SWCO0IezQz1U7marW0sOOLvtIfEkarFi4+5Lqd09
DZm+NCxQl908WWi5AUFD+6LO5sHJvJRL8lbocgSvr6uv1TQWeVtqlXrW9zkv5HiRbLQ7+qIHC9xr
zvCnE99nrO7FccGfPE8wjz2adXAn6B6Kr6Ns4EZaw3ZLvaz5sazJcK/h5NrSFhDNlAbRoB6WdUs+
t0HPMcq77t2S0OpAqCUXjMiyglQ2iK4YYLqjsROSDWpRvAV4WEGvZCP5NQTVg3km1OHdTOuyOmrf
B4dw6uzdNDMADigF+QRLyUU0GVgTeLckWSFkUSYfqplKfw4FgvsyUVaHh8FpizGn6kqfzshm/ZZY
LuB1KgJz0UnIEXIW2vrtOkcN5qRuuOSTDccM1ozhM6knDXUtI5dTHO4rtOA7h6rm5WJFO/uGiGY+
B/odXFRNVNI8QfX7Gi5L1KfbloQlxmYdfFz0uHwbg2DNaBVun6epHigUBRrywW2bsHLLFuYqKKaM
y/W2NOtF7BQMYyTU1bUPBQoxRqpsXqI2ukDmUKsvzDqaI9WOXvK2W1Mgve/5AnU5ZLnXLMT2mSdn
c0CL0BurtZtFzv0QHZiw/bUumfno9YqejIDeVlPqGmggmkxUius0cBH7DGZ6SCPa9qcBQEFKSWff
rmHfvJ1Kb5ussVY9jKUfP5hVd7A7rW7NitDoOq3x+cC4JsDcsPHWcsvYmiy3kk5lm/XbXH+uO72l
IHm694jnhdpfz+FbCRLhXFMDAbQhxQWrevZ5SuL1qgbeP4N2YA4XLWxauGDEROqgOU6CoUrbsJGf
TYBhIE/Qn9Upr6fxNl7i5ohCH8eZrDZxZsOhvIVOB9qOpTQPdOj1aXZreKr1HH82UfGwYE5+2MZu
S06jZj6tx05983ggp9IK5w5oA/29NZIXqWEjGNtG2ZSU83wey0afRvShYQpzgHyQvZWP0aqjd7Up
hkeo07dvDgs8n8VA3zAIC04EJ0U+rqO9R38ZpHzp56vATM2nDbawU9SGBZRZgJOvS08YzrIVFYnU
VQI8iDfxmQAxk+mpr08Nd+YB2q4In3+mFyHpo2MdR9NH4HLjrexLcxb6Vt53ndku1VSPh1Wg5GIM
7qrrnhF7YRxbbnsYk96ZJGFfomZGcaCjn6+Z77B5gGndhJF1l6sRy3m1rNEA3CbpT0XcsRzjMRSW
gD3k+RaY4qooSvN2o0n5kAA6+ThuiX2HA1+dYbOJN1sYWGiY4urYyoJfgeEOo8x2ss2TzfcR1rvp
j/DJDLcNIPhbtQ56zKAMIUez1ONHbR1TGK637cpI5i4hVGqADnTDOwjkZYea3a2HSDTJWQjOL5v1
xm6SWUVA5k3wNSgoNGhXnrOtklDdr+h1c+EAaSdXDY9mYQ8EOd+tTVupi6sl0OoWKEt7HTDfv2+t
+YzfUQB6q/D91KGDqZ2or1dZQ37JdVhdyEHTTy4o3JK1JfxOkPq4h4rO83gq6a6nl2UoLlkxmOQo
SdfLi65MdA4el23pDL47T+TWibTerIQDLSr66yEA33/pg1HgWcdkseZqlDOInnA1IUyabOxuopUF
b0UvK53FqymHQwkP012tqrk7gPL15WUHW0KVB6aHFN8XRRicxDxN2x0cIMaVp731ILkcVwQ6NXhq
w6KaiwYzuWmzUKBzyXjnivkN0JJ6yiIXqneL2Ab4W0kbX0GuV4T5EqJFhEmRx/Y9bCNbYlBHjLY8
RuOkesiKzmYbiwtOV9LX77bIF3SG+24k0l1QFDtynjAwAvCH+d7k5Txxdy8D1dRQ4KhWmtQEhWqb
LGByva8iqGZSWrL27eDDYDstGDRr+A9GSq4WWa99Rg1w/DeiRTnNIZDb8gHI1kVNbZUhera5sIFf
p/qmhUFHbhEef0/WDo4Q2jW7SktT3t1Yy+oEZoa4jlsKgH0asB8S0JuZCz0cNCyEWeOqKcHOpl0P
mDfb7Dr2adR5ED/C1c1ZXzE+HBSIwjdNBZg0r9dqPYsUQsTzOCGlACRWm/C8UTDopNpx4VO6gP2O
LbXXAZeryLq6YFMqWBMBigNm9z7Ugfk67+6pyGhPT8NQhNFBzSV1NEMLVwZDBm4eUrQlFWV85wM2
CDRmLvFVm6GSWvzAQAK4Kr6gCI1JfCh1q2GfGsNVHppOhKI8aLoOnL8Jgzl2DyBzu+KsHhP2Wc3z
p20r1YMq9SclNa9TjAnd/QJtx6FICnMiODwIikRsQH+J7bL1tL2G2dQd59LITI9606mATFOnXce7
e9PD3WhM7GFKrBjq62y7L1YV21EMcJuOai3egGFMSBbCgDPmGw4bdiunMroXEBCZvJqB9WA9YMGk
0MMtX8NBN2/12E/JYRJCXU1DP9y7cbLq4FY1F+dAjZVIg26V591Qw/zXj+2xgcP3vm9IeJC2HC6b
ggdvaLOyS6pBWg5qAnktMRbllBb4ihsn3GlbKW1TInAI50TO43TQYTzAZJcs9lyb3acK6+OajY2q
MxZPs05l2MEZNkAQ6c6nGDd38AC577cCX3hUgPceTzX4tdxgUy7p5htzjVMeh38VN21e1egv8BGK
O5w61dEJGWeu1+V7eMfDT0De1iNEO/I0ENkdhRb1bVATk81dXH4gfffQ1lCCKQxuR0GL+uOwUDuk
PBqGjxEpzIWjUQHfpVnrJKsAjsI9THHTMO0cWbXOGYbd6KbGWHIxL2H1pSkj8akpVPihCaPlagZz
m3M9DucRIOP3AN/hvUNNW3Ua1WR8ExdFhL4VxXFfhOwLzKgYhn3f7af2SqfHYU6C6tDGFYhQgMlD
fN7zvhqyCW44C65pGwAWiqUOs6hFHUnjoKr5m1ZP9LEsS9uktMVnSOtWlEnW4O9mgL+wJkqv+XkX
OypyW0LIadBrNeqi04P9R2NqK7NGRxH5hIN3MakMkmU+C2wT51bXwVk1cvqw6waO4TY3Lq18oG84
X+tHNycaxwMmz+PgCqihhoJHV6DuzKX2EJWkRqGluVrhxn9sqF2rbALMOKfV3K5frPXYK9iUmNOc
Bor5dQZrNadg5OZDX8/RBUBqBclUtW5o5iEb/Yasrrk4dqK0l8xjfksDtCM2b4sx4Idg7KD5JdvM
39upbT8KPa9ZM0VT3pJgJNduEeE92LVEQhWEHi6N7VK2pwVN1QWqX78c1rEsa7RyEq0nVBzBcB2V
SxhkrtiVeL4jXB+Mhu99V6RgEWWs7MqaNfNRzTGolK7J6gZNmjnsYyw8eX6sKHrqqC+2D/3k+uaG
wso75ZgqigYlTcbDpjMTOtX6U0Bo3bOb2EVFkjbhWEWfW8hGgz6bg2StiyMIs2ZFYkI5xIPMMG2v
TKfwnXaTywQOXO7zEvxV0qYOam7m8372Rddc+qSgEckmhwFM37Yz0KEoXSHzlu5onB6rD0o1sJDl
C7YKaBS4caLepDPcz7E9KvRq/bkrXdB9n8ZpnfmhhP6p6w98BNd2XxAK7uWkIZSyfW48C0h9Wzvd
4D2wAHIpV0PJDA5ghswdt/+tC6QgeI5T3ftc6nLlH2DXo+X9E1gb6J1wsK3coVEaFqu+RMjvTt1D
L7DzINiHm/iqWIEoghN01Rv22xhOEp56vZRBmfYJgK4Ak21RLzGOCJRj+96VABSSK4uGEh77WhLP
MqcmNzanDewW3haOvHqo4S13/dzlvLXO95eRw+1tKb43jtIpg+gl6or7yHJdxfBojmUVXRDnRj9A
h1RZ9DiYHdR41DqpUY8DC483VEhvKMRcaN21RMX08KdONmGnyorOew0UdgaSWmWQVLl2YQfVr6xq
D3qB4kYCO+iH5GpD65cciqCNC7BgcyG1S0M2SnYQfovYCbxf914nrn0IoK6xKR1gPkuZw945QG3S
fSV9gy4L6vfSwKccT7LMZwOdyppudAT5uMXO/1DZX8hKzbcc6tgz4MDV1UCKKGsoEivq0PvuoKMO
Yq1ZggjWQXtfy3UR5yNaOJFGvfYsXful6U/GEqgY10TDgQsJdfNVb6RoUFpZV6QxzlGX22jzd1MV
wNuulqA9oAPFhFjUmvOTiZnt8qJL1sdgK1av01AtY3iXNFXDc3yZYv/FIFYRQR/1jNGg3wKYhomp
w/KAdsJMZ67kzfxVBeuOuKCjpn22NaU6wqc1F7AxuzCBOIeOss8KwobhwDyZzsJpEB/buWXhlImC
qiEDoFhxTKjCT9fwshOXU8Kd/QDpA2QT0LBCZZdB0zEiCsKFFLoigFvXCpN3l7IRffibFYTbmi5R
Iw6iiduLQE3ItIDwGuYKaOt0B+kG9W7Kk55LUFKBLZGmAPv/JlYVpBG0dWejbkd4vAGYPW4QLGBt
FPKtC8iA+9z0EckD663Hy86ZLBJ5qKGt+BZAvATwsNbqKkAZnj5huFzKt6LuzN51RbQ6QwcTXxhE
zVSPKJGRP0Uzq++GJSreQCapvioT4skny7ZCrlY4ICPbVq2prsjyAGOru11MW+IWYGMDOyy6AdVU
dDArNFzehYAPRY4Aj+U8BGhR5Qu0Mf8sEYOPkDcTO+tZXUOeaPj9WKjhaGlPPsRmClMpoEMsTbtB
oT9tPoXlyF/DU0mrnLpphqmrRXpAKqtZzucqNlCnTf0GOagqlhUfV7a7NALTcKZh0aZHMETgWUkE
Y2Gu5mhG6Q3gd4ARWQvICyO1u75V76c3kdPuSsHan+SEKy1g2m31u2UVFqpjC9d3CjWA+MRMCW9y
hwb8Zgz2jnfC94X1KXpqX6VxU0jIUZqxKnMc6DWUV4BLbrcOCEC6xVrHh2aGwC6PSFcdtnHF7ygO
OR1kI53O50h/X6ayP9BiWrPFcv9RoFrMl0iqMYhqGOfkbuLGOlyO8xEDQQUUqKPDm6gt6GVSIkcF
MqHCd6kJC3kZBCV99C2Sb9ZAT7fQ6tUZNGD0M1wxrgfPIKTPKj7VJhMLq3zuFl/Dmm8SWyAppEpa
1F8TtZd1SD0/2njhCFIo9XoN5KqJAAYMnU9b3YUfKwnFQ9pBiHE9QGFCDmLhHkOBpHA1jAXh3aEL
6/Jdw1ezZDg30dWhP8/LyIzJ/tzimyVaAENHdCiuk7aLPoxQWah0du3HaOqGD8YOQ4qwa2CPUFRC
KKVmLPnWfFTBQhR6qzXIAnQeb4yDvWcC7vKpVy44NzU2dW6qRiDyxg4Xlo/wehjRXAEXEGdBQZL3
QIwrgWWg4kdNkQKxMjLdzcbT8wbBozSrZyRdoFsjHaQzPSAeMU3J2RSVfZxvMkDj1FVyPfWczu0d
3LJVbgBu5QZLnWVjxN0B7Ut42fuhhDZwCT+UhV8/yMKGqZ4cgXWSNwfkwBTfISsmOePMPiRo908h
K8LHAQr0DwS/wtNgxYOD5P8DPDfJmxUk/0nPFrsucZ8hULa32hFfpIkdSIh9sN1KFTToaELWnXAe
mB5jxhTliYA4Bb99tYzU/FMD7MiTFYPKiFyoDSEu4fA+SFp2X5cR6zIGVP9c6z4EFQalZRNFX7wD
+m8OjQYeZB5xQDXdnIMDh4vpAybaodN3hk0D4ze2LkdU+QkJKNAmmRH+Z4gEVl93I7gGEI7DDfOQ
0vjTQuHVoHk0kNWW58SVXb2dQ8jt7UNRrQv/wns2NGf1kHSWZQUzxAZ5MnO2GBSvBmoWcFrQR9Qy
rGKSQ3gXbmgbEXVTZaaJDVnPnV+BYqYxXfmRsX5JPsV9b1FURt20a4s6xkvCc/R50CnkgY+VgqCF
QWMFOTLaeKiqPLzQ2DSQsSPgw8+lHr6RMfBiykFoQqh3mPTimxKMZaUaqIW0KnYROdbgCBpE1Woj
49s5SixGmCpaY2PeD8lSzHUOIjbB3AfLULXW13U9TA55NQu+OzI8EB25aXx0zTaHPsVf0ZXPloGh
JUs3XaIynBV7psie+eL3O2GxIoicKdU6i/EfF6iN8hSROw3+H7TwCK66DOyEgfmyRoZSG2crkYmY
j6/Qc88NIiD/YKBGsCd6TLDSMX/pb+oJZo561fILqeEi+cl607jhoJ9M1CmoPRekZHQZ6ZihIhWm
hREpbcGjTJmN+lU81D+Irr9/rudsLz4WYvNi2FWR7wDyEFzRc86w4h7WJFWJr82gd6KlexJ+dI1s
sRCDAXTZK0Tlc05+vyJs3Hgau3cYlO8eMfCrJgOgYWIJ/BLfuqcrzk+qmoj3BtT8JErmIIKbCbIx
srKqQVY+vYqfIXi3T4zoU5bbr3kKv8Yr/H9Oc/i/I/mQZEJ/WR2/ZfK9+DrlH5F8T7/z70w+8i/8
CQL5BszWEKomWOQ/M/kS8S80SzG+0Q4+of2bJLHQ/p3JF/4LX8aLr07D95REMCxEeOMgk/dMPsr+
xSloePD/MHzQWPL/JM9hX6u/8N/YYAiNiPbvuURUQAR90/OVpZaVbIke3BkFlmgzhDpBXgr2TV4x
B81pCpiov2piiLVzWaK5+eVZ/VxVzxIBn1+dE3j3kFaB54MzA8bvFzsJU/oG0nW1p8XRGQNJF0Mc
TFukhlXd2X9xKWTgE+wjED0viX4T1XMYdtyeWGhAKNMQAuQJCU5REo7/xV3hUcoohk4j/k3Ts4UQ
innGkNKzrhVSirYxNxbUj13Fa77s52ItBPrv5kfcEyQTWBTw0z1/fesMk0/L8QBlVUi4selbjILx
93WOc9UXdSaGCPKcomhgG2bDa5ajP7y9CPAKAEcaI7zyhXbJIq6tiLS1KHksTqHfLA89Rsv/TFuD
W4THE9El4FBiFNuXWp5JJdE0j4UDJcZiaPxojymVr6OYD7XuUPz/vk6el9r9iXKY9hJCoYjFMnlZ
avmIkboMrTtBuglOtTHfIEv7nqihS6EMu4wxZb5S3Pfi/csW/HFFGK4o34MhQvJSPFSUiH1KIG04
1YTzDArrFi9LDoe/39f+Mn67yv71cYkgyJ6I9kPtF1kfAoHAQY6NO0XVDI9qEFzByXTjQwoinnT8
lXv601Okv1ztxdJAMwMWFkbDUwK4My3ANqq5s7AD7FksUtrUNM3j32/whZ306c3tkRa7XBDqvZel
zJdQVAD5gEagjNkNQhnb9wqs7jmgsuQMyo8md+OdmH2SjS2bvsbwYV4APTxzygygNOUMhJsibWoR
+su6RsG5R8BLSgs73u8iDUCjKgubcXulMIV/eP840gUJEcUB2dPLFZdMiBkd0EaeKripm5QFS4Oo
vJXPB1D9u7wYlDq0MUse4ekdKKLPPhFM+LcAIvS1QOxcprSSN2gc1Ct7gf/xo6E+7zscti66//9f
Fk0t4bPfAGid0FNjrCx5XhkM4eA97AEmqOkB7gewR0sMInJAzNcFJFDmairQEeXdahFkCqy5YROw
UYw/aRTqIi/6BBkVVPlL5ai5pvEWnG8NMg2Rawb7gdgthGCL37ulCt5b8BOZjCoYoVggjjCcVlAi
mOTghvXCNgZm96B1mS24hAsT1m/WPLglma4b5qPUR1tzNJEDghDYm0GK7WysBNQXDEPYWrTFFQGq
909gxvlU94h8hbj8e+OjO4sGG2CCQsJbXNob/OX+qaH6P3Ngft8g0BOjMcCuxxmMr/x+/mQBonLH
l/2lT+V10LgSBilyHlbrO7cV+uAc5DZ/3x9/vCJHsQYCB8TjZSiQhPgGjEJjT6YogKuwQxuqL7Jn
VybqkVgm4w9/v97zLnnfjglHZrCAImeX1NIXmshJyRk5IM6eag+GjM5sOVcAiA4JNa/ZrX9fpgj/
h14Xbg9JAEK/WKbK8ble5gGnIAa6yyEYw/NhceKVB/jHqyAAC20KsovwDJ+/MqiCg87CiXAKMA0a
0CkyOIOrKbn9+3N7Efjx9OCQshUm6BaBTfEX12mqYAtjLafTCi1gjsDJ+hivncrjCS5SVkwwOUZY
+ERE6sIk/xiqTgNrqtfK0nM78dPHQAsDxRkE2GH4MnBgHAfQ/bOA3gxxtodllO2xWGp7ZIutkixC
OM45AvHkwZDhWzss4g6BXctJcTK/QXxKdAHd5quJAX/8TFChJgADJHrWF8eKYkEABCmaTsBm+nNi
+EESB64PWbrXBcJZsxKyhI8tx1aGJcHfuH3QRbYQlMpJP+Sib7/BUzNfN8mab9vyCQmVNBsrq+89
/IipthU/4zCDXfQe6gViX2su6B9vAGkpULMjRQfA4fM1BJ2P7Hyy4KGW/k4ZoY9uYeqhRBUDuyvq
vJhCknUitjixTHeBuJzPSSXewVohz50uigyw9HwoySDfDpsY3iVs+7bxAsEASSmPi1Y+X5o6wFlh
WzgwgWS+sjr3bfu8j9i/gvt/7+DF6lwsiAY1+Onkg1pdFJvsgYmtfV4HJLeVQZF3oKPrmpxHg5+z
SQPO/vtHiP78EPFtHxybMfxNIZx41BLP3bTTvRZEVpvwR7RVt4JNPSQo5OvQzus/Aik0X6bdGzar
DLKxMofODJSCmo6UTEMOokDs+pulSwV1OitxwdPKgSyzWoXffB+GKJXiXkTNgSNZII8D+Q/YGeiC
Zk6uAh62Z9swfBYzuY89LgRpgsv0Iif+yjP/vXUDPUCQ4IEOYY8BevHIOSTMYKRQEMa6/acvoEGp
2zzYwEcPG49e6RP/ULZj9MCYPBHdgF7xxUQxQfbZGxSdk1b9d4kYMJzayCpn6yZfudL+l16sJFwJ
RgvJWIwcmxebGdC9A4rOsZKMegcaXP2DZAHoPDuPaQIhJBAwkDhILhC78pqc/Q9nYQwN6e4qwcGE
xvv5NrQKQfRFDS2tE/5jYZPbVYy7Z/97K+wjRt44//uS/dF7/navHIFzIQA4eGpevEJQktNaVViy
GMP7Oxeh7/FFlPu+nDNEenwjBZI0q3bNlddoblhSZfOkTE7Qrfz9o/xxMSGoCSfL/h3fL4/lytmZ
Qy40nZZksDnRIk5ZCbonqAaV8bL+/vfL/eHQRNIgIinhKIFv4WXFjiGBVh3ylk7em/WkkEmVbbAZ
vzIj/vH5hkAysJLweFnyogOop1ANUPNOJ8zIsEHPK0jKHnhmXCAffpmg/1EziEOY9lvkp6oOmHzY
HuCvu9xArLyyX38fygGq7vmLBHsI3wr84mUv3nEkvjb4MDOUx6US6jiZDao2rzLVQRagp64/lcJS
ZF068sq2Cv+0g9EN4WGjb0/Yy7VmodKhUU/MCckW5aMWJuAA85W9maqQdykSMKDthMaIQMbjZYCG
Oh5bnpMaEcRpN4qyyRaEDLyZywgiCmqtCzMIu6evf18Zf/iYiAGAk+5HhJV4Ce6WQVJ53sfjKV4L
c3Rsmw9sGuUBvXz1yiP5w6XgX2EC364NGO43k0dVh5MejRhPdiu670i6FG+3vuwgZonJf3Fb6EFh
FYx3SO23qqZ7vVmdsPGEr4YwbyFtjY+DF8UlYhJeMQH9oYj9D3tntiW3cW3bL4IGmgg0r0D2mdW3
rBeMoopE3wMBIL7+zKSla1u+53j43S8SSYlZmUggYsfea83FT6ItQolIS/qv50Zbw1tuJn5S5pjJ
Jh7r9qlK8Bawu+kQTZ6ASo1w+z/+1pj/05XHBGlBOfrLop0kJhrdVHb7lVlnVMllJjejsje9yYzy
//5RtNP/dYeg0iAd6hqD6LBi/fMy7aMtmRJtcYswrgEvBgK9j7JUzBqaS1yXEUNfe+NSk5fMydRs
7Dg5TstW4/qoSEaQPFyZQ4/xGA9r+WqTOZFu0ML4iMVLxFLhGHfpJ2xY46bA/znskrRM8nAAdYEY
hI/kRJ7b+FDvlZytHeZysHbSSIN9tvae3mJ9RPaTFKn1jERKW5tSLNLeQSBZ3C3JFan9HqD2qn64
OH7sJEQS5qbnBexpfB0p9unLUDbWeiyRAaCWzqwKL63ZWqdKL4uxH6ZCDbeyqif/RiAqiR/cwSrr
Hb835l01I3tewkkEBU7ZQonkxvfqK/cbVRoOfNmVTwq1J6zp2mgO8JDqOFwT9B4hPoLXikE+kotJ
NPkRA3HSRv6EkX+3FtmabCtsA/0lVxwnkX0G7Vzuh2EOig0jo3VhOr3G5rkyhtik71C19qat5LW4
yiB+fXpoolfo6eMSaR+3/lMrM4MsgnHI1/s59tQT4s5+3KLODbxH0Eg+4sJVJdORInbZdf4SZDvB
OBW/QJtoHSH7D/Z1zxa1LeNr+w/jTwBUcpD+CwPCMlrKqnGQiBEYgQuxlYfKnx7o8+4mJds3pHjl
e2n45uMI5yKMq3w5GGtebp0uuJvKFVTxsFtSr37ECBEqMDfbQtfZ3hbFjGexqHbJpE6OWufIJnsg
L/DVy8mON1O+ODs0T1/CMeatQgdwlal5exfl4jYQmbsXgW5CKmaNbjxIzgPk7u/e2M0bMa15WHvq
U3euPChnQci8rABGy1eMQlsXD/29DKp+izA9uy/wWUag7K2zX5XpjTPzfXBaQA6Uxa+LduReGtZD
lqUtir0lPsaBKKIlLyaKisGLgOrKzTB4+oE55bEbxRhmmnlwpos79GLRMov+VCwLviyzQOg+Qn7I
kftFBKvgc3NSdKKZfx/74rEy0mVrzX6607onQMEYp01sI6XVlK6PCI3bj9ofzEudeoR/jJ27Wcyx
/+kaXR0Zo2o3Pg3rvdc08tiXaJQ84BNHMCr2EdSGv6VJcbKtZcd8y9oVcn2vzKl7r7P44EnxBKzk
XS5xvZ1NhBL9FL9XiBR7nsDKP6rJgxlv4NLBkvpcBH58GmIHS1rS+FszFwbfQ6dDkQdIRDg3PIJu
Ufdd0qOKmEiZmJ3hgrDQI1vgmoNh4K3p5vbgO2N2wOJfHerKVz/FgH4CXxN6xk2hslGv0dR08EY5
mttmnwClygKU+w0oldDm5nmrbNNZNl7HOYLNlEUiT6b5W8u1v4UeltEeAYDvFxYza9BvRjM2qHK0
f+YXzXbhgdjG0pbrcPHXOZmHb8gXvQFRoR2DRdjowe6/GZazM/MEZYlh8573nmE3vy+eLtqDU5T2
tKn8qzxvbSzPvxiGO5JO4/lIK8pVSeNEe9YcaNJ22aHvuVLko9TlRvuVek7p6t/bZW4/x1VdZMcZ
6NJWBll3a822v2syNTPx72jGpdlgYkqLqSfp77ZbT5vluWWT/X0Ewehur2lSUT7LzLkssDSfhCri
nwHN/YlED7fi8B0rc6NXf3lhzlT97NuecJe1GqwP5rg9+p1W3gW13V7FIvNmgHm0H6lYnn3CSL6p
gddZjXLZIrjoTvoKOcyWWhyBZA9vdOEYg+RDqnejmrgTUifo3qFZdb/jWCl2xWJ0716HrgnfyQg6
cxmLXYas6002HXIYjzyqjRvLatxMeuDhKG1DRoUpiB1yXRnlFFzHqZMElNBC3nIqDfpdwbmpOqCU
5f8fUca9dvGc6K0vMwsCWzLHGUpyhHhRxWiQaJ60vN6Dxnwiuih9Mqu0DBuvn+wdFvTWeK0DwUf0
2iJIz4mteatuoV6VvUzzDWCq5C7zyRMCzaxvmhFjhkgFr+q0GX7BzH1Soy11SCXSndw2Te/yeWg/
aN3ZWxpn8i7peVRxJVZ6p6el2IF+Q/PBXDq5K8tWwVOSBALxEHU8VHy7NOG7U1EFIAHStP3eq6RH
Cdhbz0PG9c7yglyftV73PoShg9GLFTWR3T1AZr+S3Tlhoi/WrdoUXZ7tubLZgaAXXtaYlnsLVcip
tfLgotXQfh/Xtn9XKddVe173e2MlyHc1IFn07UjrT2i61/0UjMNXMA/yTujOgEvcBMndkl0tZ7ML
leULJrrwEaDZyMiASs34hC4W23K7wfVALhGuTJCZdZrXrFBTPISQ36zn1lrlHR7u+KV10+TWlVPz
4SZusRmv4RYhAs/YCpVPESknx94mMKhOKy6sTWJM6nzNeDgw1F9eoCCzLiZxdnBa/nZrGsndFHSu
DlMfRFlYmz4TC6crjyBlkTmOAU2cTVbM8SmtRv4HqE7XIJ25HDe5bpsp1DzntLHq4Y3EnvUn4ovh
y0uEjOJ4LY9WP17v8ilF7NminXjCwqdeRTNOmCcb3mQpzeIRHk376eSp+2QEmmCltp7TO4g4tUXe
Rd2/l51e7n13mF7Ndikes+vXbRNxc5G5BSFBKH5QYaw7cPQmLg+DPBqB6+bZz9P13gSo+9PUTUaw
kJBYO3o/frSrXBw7M60vrjPzio0uHinZlxdI3cOXnpUwTrqnJb418Bz+9ABZo7Kc0rgJ6bcM2Cxd
Y64j12i8mpVcV6S0GW78KFKOXGGLyGU9VkphnUkn7iRtdD1Lryu401iz0ruyyBsL465u7g2E9UiV
15Lv2gTphxvNafw6wnb7s/ENzkzKrFAZVnP3k0w661Uk7bxR82D9cFU+TRGPXvfAaqF/Njbe68i1
67WI+lxOP6C1acl35nHvty2XxWUnH/bmXFh9CFqX/Da7NB6D0WQ181z1Y2n97gGuH43/zm5vR7W2
3xBudw/W6Cd3cBegogakL2WD7xxZxwKE4nC6j9iDxrcuy0jQ6g1/YI1vimv81tpw8SA83HAmjnft
FPcsYqBl6ZuODljE2PE/9OCPt3HVJnuFa/wgMKUdO7bNi9OLYgqll2T3rhjaXVuL4QX1OvYSnf4c
k4Y/Gtq23cSqdb7LIEEN1ZY6wvuHwcPBQiSV4+4trlfIRFNsirHnORwx9zyCy1vuKUKQOYo8frXL
RESl0TyhT70h9ydjFmlmnGWwpsxTkINW8U9ouYD9VW3Pjy3cO3OurNvUq1g3HM143cyMm8XFWFCv
Mn5yY7s5Bks2JSy6lSYBiGFjZ0nziEX2pNYVJwjP5o2ZzP2FHLr6lKQ1DmzwY7slYPxHC/UTY3J3
hHa5PBbklH2h6j11mWmxpPn8wxm6bY1wNlpGcV6WXLxRb6PvgwD2HbQec6ZmxNtr2McubjymZSkF
qcqb9c0HDv1o1um8g2d2cJuy2wQzKTRh1jUHxLKf9P+qb7iIkER7DRfJNnAj5y4nnMhbV5FeXQLD
sTBMfFexYd4VlWh3wzQx+LImFKDrPN8Lv0BhnecDth3DZakLkscJBAUS7ti7n8ygDmlME+DmxeKT
YEH31R3G8pBl3uuSm9WedmlKHUgphyxxxbKYzelNRtpH1Fj2MXa09T0143mH48TcA9AE/JlNzmZW
PIzgJUfk87QKk3V1zxQX4i0XEmnj0ux4nFiAm5zTaeJ2wR61VPATW4j9trSClIkq0KgWKvGMsj+P
FmrYnWTtOlfxUL5a0vMeVoC9O6mGBSYjdWGI+RyoHPCNH5pRkx21yZjddjm3ATFTSYbescYd3LbE
IooKB97SolVlgBCSAGZHk+dS0IsEWy1hdqdkrg8j+XI4aoRxaVYSDLVpv42ZUe14FJHb6ZxCDfvK
FrbnbSVk/FIWDWWGUOT/eGYetv6YPfpmrzf4c/zzsGZXjXi6TWVZhJjQ5F3VSmA66RxYDC1KfVzX
Rt240mDbqYhX4oFza6KeFvx1uZM2gBg1JFfwZBxLQTzwGDFDUzdoP/P3yhbunsyAmi1nwTTfaZD7
QHmM5T7Ad3JZaWZzqvMUnqAJbPopIGfwkUzYU487/hCrMVIg025KvuXzUM9ou0VTMhydSdGah/FC
3xcu6pAfQGwG7wEzU845n31TT1FFIhlMIMxduVenZHap0XpfVtEfG9v7bmn3R9w33QcVa/lRor9l
0SLyCXqgsXPUlGwxBlcPwIH9TYlOl6F3MGrwr6iDKYeWA4g9lZ2ww88C7685eAevsCz2GOE2dwYu
yySsV6+5o33TQM/z8wTQF9A1zT0qczBsef1gd3714Gb0kfEdsYDCxRy/ysE2SRPL0y9UxThobIMX
7FABnGSfN0+rsP35vafi4XuDWLmrUhfPkzJc51i2PjtKAJGN3ZLemS4Jw6Tpz39qCHF5pj7mZFpU
qTglxTJ8VUUzfg3TQBNhWKfqZyFqugqDHuMPc8it76BT2OkbsS73Q7fEH2TlcQiHNG5g9NPx8GXI
1qhCW4Ov3epC1k9lt7AwDOkyNzsvAe+9E8FMR2NaUm4PPIwUOE1dNk+pOxXgAzC7fUhL8neCdil7
sJYBFghRm9xGtYORaaMG3uU2l8ilNjUqLY9DDCzAMM9EPZwzLUfOjWatrDSa2zlLdhSvvLLGVtQc
xUz7cZMKGGJ7JKyUACMT0jjkMBVc8tQUMPV6Aj+jMnb5lgz4aAT/LVP8oXqFxDWZUD2HcSKrn/aE
SSicOmfFEIvY+eNvF1MqI0Flz3gyi4Aro0zzLLDsIeeJZu8AQY3gkwxFRC+ISw80vX6S6MfqfZnl
tHtQFmQcMDHoH1qLLtCd3cnF2sFOkOcVQfiTnFFU8BUyb43muOPzFZ6kH9K3ZpGfB1QMal+tCD9u
AjWqn8qlNxpOtmzTG9ewkKOvyiY3ta7fKiuAkOcFHe7y1jef57QdVnDeworvxMSHPtjK5D1SlfOu
szrmy3PXpTaY/4EQi/hOeHbp/afrhr4MV1EhsB1ZJOzhK+P0Av5spiJeBzX8yPIhL/fB1HcMMIIq
y3HFZxgdCROiATDzdepDTf/vNJOHBBytGanoZCra/Gi6PU0UvNol8ahdhhuAZ4oDN5sw+1dUTVer
TY2RiYgLDan4LlUYwLprCVmS5Il/Am3giwX9YNuVjXliJt0f5mpyHqrEXy5ombJXLK7zy2wL9be2
+n81qP/fLPZ/TAZDAP0PrdN/0aDepVnzzxFkv/7C3wWo0iLamVGPx27Aw/J3Aar4zbc8i70TA3XA
iJ9u7h8CVNLdA0+iLqXt+ktkSm/2DwGq4//mYLSzKDBRWSFx/I9Cof86rqArz2jIlmgdkFoiZ/zL
6AYeO/7rWsqjWkzkQXbOmQCqR3xi2sNwbJXDG9BLvWuJ9dhZ8xKf/HJsv+ESWV5k7bffhJsPb6bD
UQgfjP1vRgd/GVJe391VVkKH5Sq6/RdRGUV3H1u4S4/0QptPHqLl/tf5hYqGZ7LLsF8GrXmdczeF
+DcNcLBn/9wAR9vJvIqkDXpn16wm5y9zyhj6AabGrDvGCb0uynZiiVg1b4qgb1wMENK7IK0lT9VZ
Xe+8iCDj2eyzj0XX+svjOAR8Vq/OCbLtsEXFW+7Hsp+KbY9B8wGrb7tGy+TJYzxXbPd0C3bCbEWo
aa2FOcu4FQm2iLvUXs2WtVdZkck5eQ1ny6PPjFNmJfMyNbrQGd0lVLlrf0v8mgAVdtiQA0Zz9vD3
bfumnB7TeqgZhYhahcbo+MUuAa+dRpBn8sjJxFWG1Rtbv/CeJ6wmxLhprN+cWtr6thcLwO3UmFXY
N446QKuKo8KAPgDxYVrxu82K03uMHblN6zSqIOa+17mPrNEYAuvC0hmzF63jG14Jbwgzk7xcmBkp
1lK+AJcmX7Hu8PS6e84AGc4oe+ZUCOfxMZiM/MEcsuzat+vMbyx6LkQEz+w3tOaC7cwsN9vRv/XX
ENea+7jEfsKu1nVuGWqRjs/W1KCLHb15OhKzXiab2q7HR04ofhrh/R7iMEP8v6usAvduHY9A+0Pp
tpaxFYl2zvVydbMnCWD6sEiDKcx7Lfhac0McpLJt2prIYsNZyncvX31qTbe+L2rShAeGQdSDkkYk
3XZq1wR6Pn3CvAcdNMv7lS7WHuJI8tWlNiWsme2CUakNT2pw5LBYPWqbijskWyU/6dzPN74cvU/m
lu1BV6beBqRPHNasb2ir2SOeRi+3CR/vlAB0ReDNsPfH3DrHVAsnJuPxq5PbE+ecdG5RU8r0h5hN
dUfaGfEDWe1VP0ifKRoqns4JO5nB7SKItqMXq5A5hK7Xu/mG3sFTmhi5czsV2QRzJ48rYrqtvsqW
Fk1WDUcrduIOyQeNYiv027H4qmlmZ3449vneNpv5qygU8jpVpJVK6Xq0yrwZuqDPPlVGt+sQ1ErY
d8PQxyc9aSo/E/H4u7tkCRuwtJtPbTgjDK1gWrC+WZ0x/l7HE5qMPhgJN3LHRmRb4g0ALzWxv94o
MqLWaDDxAm4nRR30tKKNWQ+r6qggDehu1IF1j8QLqEjSflDV0dwqQEDVYcCMlOH1XJgH3SUpW8FY
X/r0SrvqTKf5xHbq0O5ZgeYai9kcV2JQHokSuy6GKZ+/0Fl9l2sgbvDsaDYyOOGn9dfPBpJKPhE0
a83bTg60QVIlBs47GPbDPkO8t12Sq2KyWfQhA98LZVc236DEYQsIpKKnQkXtwIkwp8UIJ3OZvpt5
P5k3Ocnt5m0Qz9R+LTkGn/1QBviijFKTacJSHvDJU2Q2k70dc8AFfNZR3S6ZrV/LgVoHW+aMdBMF
XGzHJcM+pDHrp5wAHLUnAJQm/yqSAAgcHWwrIYy6sWgevdfJUmZYNGHpf07rWHHr4MY/N712b7vB
4h2rhlCc3TyNGZIWMCv7zrfLu6sMYwlJzmWGScLC8jBliY2CuOHBwvVU3vWyxPbHRArkFfIj/FzN
dXpvYp6rLhV2QGArvAPu3aoVgNotHwgQvac8ZDYTTxvoeN6HQbw9yqisL4KoTHRtbRrfXcGopuTb
gcv15m+NBTogddcAHqBLhRb7piClnN5nMQ/N98EaX5xldo8KtJzcW2MwP0wkmaAGKkSs6Lb6nQgt
P4MNjo87joTE/W9NZnGTOiqGemCs9SUt5/7ZLqbFhXEyYYwjZzhHVWulu2YutrndGDoqLblcBFXi
OU5Vepk8jeRw7PzyuHR+K7f+0ltnxyjHI2EinDC4gRi6sM9oPnKw4q2kPgytrvLsq/l98MNrlCDA
k9GjLVzPzsrqpyC4bFjHEZ4kUuxIGk7CoaKB/Ksa+m/h+G8KR8Ab1+Cs/wcy/ZfC8flHzRRr+PHj
H6vHP/7Wn9Wj9RsxtB4JRuKXP+kP61Jg/uYgC6U0pIC8psBSVP5pXXJ/c8H2XvGdoElN6yr5+bNy
FL8h3ESkiy5YouCk1vsziPf+b2qpv1nQkh/NH7//R/MQ3s6/lkdXWC8uKTRxRDDgiPpnfYAHBdtI
Z1kfiVDi8d7TQUxyBexgnjmMVqCFQ1CI9nwZ7XWNKrrDG2tYnD1JHt6hqwR9dRkPcNfZ8m6HTrjP
S2EWWwSjBMcmLkK+uXe2VeIu7ySBdd1m5Sz6GRAXfbRbs4ymQM609xJYCrH3BU1mPNKhSvbsXch1
ASlHVlykkaZI2a/KNOF2OCDJaSLQxkpZUcrapz2Rr827aDv/EzdfdQSzo3eMbHYTAJ6NiasvUjBq
7iw674caDtGzzcOMamcQY4Lh2W3eaf51e5ud5TSoEj5DYrvu99gHXhgyVSnxnvdJctNQAL0U+ehf
llybj9Pc25u69B7UZAU3Zg4106+S5KNM4eoFUEgO2puY0GRdHKKV6/e9F9eHOUMr3jvrQ9M2HkHm
dr1zjYISbFLWXe0Fp6QuNrJZinvDjw1EAHZBhthMhMAVXjAVHVsOtfp27oQJckUIghyW4TgN2oB0
pq2TKFLjVA60wgu701Fq5HozAEq86VwiS7cALg0W23l6trJWbCH9exeS9+RetFa1g/IoedVBP7TK
Hm68zIhDGozP6KeX39dicrfDTGUae8XwoNFUhjNJSTsXM8HGaJf1UWS5932KF+z/6wcm+2FPUZwf
aInae4IQ41flZ80uz2P3i6jCYr2ZVju/oYOB6dRvlzRalrHaMqNXGxJH8Hhj0N11LviBFYsTsz9p
h4k/grdZ++A7/Jr5ZzKvwU6b9YIthRnrludGQPSfh/Ky5u1LCqfzhW7L+mlQJTphraV5AyxdnWm/
oh+rTL7kLMDI1iY+sVZ2TEtGF6gmTbe+YwTZ3JSz9ZJi4R/hS4rugMyjeFiazjgREqTu7KoPzqLL
qN/bUtAfzaD4e4fJIC5+h8JEw9XBllIg21vmk8sZjMQ2Mkb0QoYaPQU/si0KE+ZldnVNEMkhFdKZ
CW0xmXXE8LnaIF5QNgHoibcZiEaG5aurezbpQyC7gklN3d30rv1JO9yLLx2AovTcWuWbSywrOVNy
TwFpGUd4MIT07ssRG4wXqmCug9810QfZNiG64k6rZbgfJtuvMDU4sb6IeqKTMU4vsl2c+55zSj9t
QRw8I6HPt0E/WdukBCU3N55NpUmTed20qds+tnTA8jnKUKQcWuEVQA9RcBTLhplZPaab2iXO7FQj
PhmMTUWL2rxjoeS6V3DzdrGb18zImyQ2v2nM6wB+WyO57Vav8t5MbAxdvx1IZXtAOz/FX3SWocRl
OghZ4cLUEgbZrlPzxJ0ri9An5QWmbS8s5ByqpG9njkH+3QPSYBz8WlHwyaacjbBhaEk7j/xVMH9L
OombOamC1wp802fBGZ47xaRSIvFjNOGNdPNyz5FEfK3CGYu9HS+qPRCO7dUbZWRIa0YrjoNtLUGf
0uhMejBtC5M9tFQktgKiot9ozsyWWfv4iWMRo9ulLqxS6P9ZznSCIX1z5/mr3bgR2S+pM56Jr5Lm
pmmUAe1xwetOLe/eYVVcdrjw+a1ZIjTuJdcY0ly8PpewT8+9azD3KxqodBBtg5mcCce9YRrOhCZD
NYXiKt7IohSkA06Ot58sO90jrPH3DcCa+9ouLzoBGgvFQDaXJZXpOW7hc5A6Qt5AKUDJh6C0224z
gWEJR86wJ9/rEdTUSLs4wLB+JW62BVvrGDvTI6QHNl6+de1BQ9OasaK7Rl3fUko1j77yiNlzO/WN
wssGSOcEZ1KtnJDIAmsDdinZj/2ooXnoqTTDCkbJ793afWeP6m/p+7m72QNxhtoGBo9tduYT8rd4
t5i5/yLJb3gQwojZHOryWCbecMek39hdW3cnVZvx7xqz8f0KVHDw3OTI0hkf6KOb74VnZRvIi/43
gmnon46x3R5y2S1nJk36Bgkpw+VuYTANweOD/ATrJLuGEjZZdqNRIxMbTZ1HI8ZIDlzKgay7xvoe
cW8O0inYD1BVXnAjjFjm1LSHRan3UlWyC3OIrrRuDRXNJXNQLO6w9/rF9s8ZzJ9tgKd102JACmd+
/tOCcTG0r+K7BLPZfbsmc6R0WmwR7SR7lw9wHQGqMrRmkbI0avHuOF3PXkiQ86fy7fHG8rT1Q012
s5M447aFFVsHd+ict+ssaGsHwKpaa0h2jFJAckHevy3MuXudeA5vJuZJ95Ie2gVXE9SftM5hFGLh
7ZwUz0jDyEPapXsotfqAQ5RdmMilb3EzmbewIXGs5YNLJVBpOFp+Y0Kqc8zbYWGCH2U8+feSscse
52L/iVAv6gaUAOi+xod+QPzAhMp3j1UwBA/X2JizlRfNd+LDoLwulbkt1sY8pmbyFve0e6y6Mike
PBS8xupsYYX1Pv0M432pY3MrGCTcyCwzKdCHjDFen3SbxXDajbBSDksLxwjDngjEnYZkGELhLVsw
JLCF1OIGRJ+aHugVkIdhnQAo7yqilt0QmpeV8Grm7GsHSvUEbHDD5EN+2gt6k0WkOR0AM2clIBgX
qGitrjFRTw4ZSAlbXlJlSfo8uGubPfy3vq/HbFz/XX0vf1nd/vf6/jXrk6zO0BX/vZtMhXr1x/1R
3nvyN6aE/BGOD6SZNGD/3hx2fsOXKK7UCSnx/Fybj3+W+MFvgsG9BZaDnuiVXfD3Et/9jVcDi+K5
Hk45Cs3/pMSnB/zXEp8f73geL8m7MJHB/HOJ7yu3aZo1sQ4+aO3yKuzxI/hdMtL12sHBhbZTxx9r
7cvrQ5ekL+bUJhHK/IbM12S6dRpkvkGvnJ30YiIje48HMV0TwN9uXT439YoqltMPs/rxGcAXZRjb
1afptEUPh4cL/DL0Rv1q0+C8b+G6l6GygYhiuWrOTUpHiAGe/KzNjuEjJEb5icLnuhm6IngdCdv9
USwIgAqnqZYfnIsCLz9lg5hv08bb9tUQ0S3MzyZzKH/vEkb6jD4pQZ+HgEjcTozXrY2dNsazISQF
HEuS2uJBoi9KAi5n5awTG4wey61FdinEoNT/KIuSbXPAOctl4czN9HZOLnmLOWkqXHhVaB0acKPz
LHdWZwpSxIrvotL1OaGrFEpfi41EAvLe5wPlqBWLjYGplCmeM79yhF+vNRmlBCGf2b5pq/Y+vs5D
6dWk4mhiqfgGRDFjaVlQ8hEXzQkiLwXTadV5r+T7Mnb2XAbKW/SjjKuQuSDtjoOkzIjwFKN9B79Q
dzuDaI9n6E7ic2oFLUy3pAMlEuFffgloQGtfr3JhcS3SJrCeGW1SD6/2bD0n2cg4vESydlWdlBQ8
fTNywMM9jIJuHCCAOW1dUqhLRWWEcY5xFybgGt1bPTVnqy8Z2v76ZWnhSYri1qUC6hj0VdGaVvwd
6ayFd2lrpsE26OEqkmMVv+ZoL7JITi64QKRMILZT9u9Nssjg1W8K2mHkyQev1mRwcut9mlG/artn
TjF8jGpShGZ6zaSxWyMJdNJRfjK4ZconRp9drl8GfQ5qPPvoIq3mbCdWoaNcaD6Qd1UVUVuK/DwW
ukxPhr/yBmb2+2TrJTlXt1Ix3si5ov+XxKqAVMj5mabu4pUCplPj2rcQPmeilcgOTo5jqzKUGk0+
fkEToiihlUgnmaiIjCve9eW+zPOxixqjVoOiCAKLGwIz4+WZe/JrX4/sCNouuIL9fB2XaESwx19C
o2VJ+Vr0wCDHBbMVCXRSSFAn27z3M+Vefv1E15uKBUkvE3Z419ybnSIHChFpEr/OfTFeXaiSQ4WY
icHe92CqPk1gUH5E3dKcXbNvv3XoUxTN5KU/UJdK8ZDkZGcXTpc2x8whh3Abg80k69bOeP3EKflY
65VrnUI1ehNjvhqvv94lmXVTcihX8OoRnRHerGxd7jKDYuk26EuGHiXIUIBu7rXtCdCq00+4hVHU
A4fmKyXI+npNCGoZbsc1aM6BOzSMoRt+H0BLzyn2E4DYBqFb+6LBXBkGFbIFby5Zoby86w+iMq11
h6ez/Kk1JrUwd4nKjmrLptWWSMOv9s2kZoYuGBDwwrbFEi1eMc6bMbD1YdDu/Mjuvdyj62i/Odxp
DukjYAS4T0kYCcHRtJfRn6KmlYwzpG3AJhzsIdhOVZ040doP3i2TKswswRq88mW66Qanq/WI4G8k
xKAf2m+jmAaCPXJ7QXMaOPt89qudBrYRmSqRdFbH4ffccCxqYjad1zIolyffNRjt2z03tt3PPR+G
C3BxTWHw6VAoEK3cyBqkE31xOLkBETfkfSRKH8iQ8A4zw3eEvDnhNxbIS1j9DBVZHIaC5mmC4tCp
r9d3hVdCkjkSaBdEv+IHVvPdbEmxJRbSZsA0OiiuOio5KibyRRzgBvum9NM06tkxHmqrrR9L1SBL
VsV1fu4VqU32r/Z2MNzWH8KrnFPcIxcH+GZ9ldLTr34yLd6O8Xx+6Xo3++F0y/w8Sbker+iSLSYE
ZFWZ8dLnRv+a2oLcvq4ALFwGfoZ/i1YHegxyZUFj8mdLvTP9at3Wial/YNMoeALmcjj7cqYDrXIP
iGalY+fbWuTDGbw4uauB7VnHSffFDWmgciNnrGAcEUfbjbJYexfQ1bc9Oo0fUgYpwX7Yi4leXrv1
VAPhvOVwiWjPsJctiCNsdIWvButS0hboHrRw0qMyg/14PcNp5ajN0BXtzTxhVC+MKb4n1pnVZPVC
Asvb6ZEciHcnma3kmiyrER5OqMHbojbtlxiU2ysTuP6Js/Z9KlX3SHBqwrlgsB5jy/Keag9SXTkt
o3/XAfg5ZBzDtsTomu+JPS//w96ZLcdtZNH2V+4PwIEZyMdbcxXJ4kyJekFQE+YpE0AC+Pq7QNkd
FN2Wrt/7oR3tsCgUC0DmyXP2Xhs6fPgw0/j60AP139ejV3OG0xW8W+4bQ51BLoBuRx/giZXrvrFv
FGkmK79sEm9bmAn483ou1lPUdiZRDYv23oY2WwAFBRXqyJHxSEebhclhZZJ0nOhPxPiVgN7d3ssQ
t/U9/Y+2gEZhWC5MUqet1yHmhwcbw9FzagtTsRU65nWfuf2qNI3mOPhMrdfayT4hkW0udNH35842
P2kQlFcNh8OOk87Y+GtcEt2l8udsM7jCvse1515MY2bdkn/SfWfeJj9NyH3aFw5qxXCb+jKKLzo5
50fI7xXOcvnRJhnwNiE1e5PDS0QzZY2XiLYcIpwpaQIfhDWjl2spO5pktgOOkY7FN5Jmxst2TuGT
Qz27hdQ7PNP5QuCMMupGNMK7RoAeB6scP12L3DMASWJE+ZUZtXa1SXrTuGWm5xHN0oNJLgs6N64/
nhYH5Ce8qO7aq5vHqG/MU27KJzRNmNtRmywtv2fLjo8kKatLAyjxR61jBxVrPkm6qsqiy5skFyp2
42snrPurPpC0tpCu5QEylcS0GGEHdTO6lzrpXH7D0FqD3WRWEjecfdj8jLPv8qiYaXJJCEp9sAvr
Q5RhCo8LHwSmXbvrSiOS8sei2FgN1iJl03JMOCOxU4ho3sRuS/wMoYfWDnW+Oa5su3FuQzRhN8TM
dve1dNGhymqAxEcE0Tqfx50RdAOtWFRUTR8/+mYL2BFn08Yi92INStRjCFuW92lWD/C4KT92Nna0
zYgJA0Q6hLdV3/mcrCeVJDfl0oTLHXN6MKUcLog+Wsbo/OCA6+WKFWg4pKMCXkpUxK1D62ffVPCM
N51N8o1Tzu1d4tGsXE+V0iBVFoFaomvr1DObw04EB1FG/pEmSHhZ5/H0aCq0XGTG9E9oyz8yeo3I
fbHwiAMKjB+HZqHQqhHuC1G0J78px8NoxjbqviSky+pzH5jBappJeB5mpImA7jGcJWg//BJAVjN6
Lbj0nt2xSATkz6As9o12w6dG8IsPzSjvo6wOdihAo2zLdqgPYabSTVvQswqjaGUylrpLIr9SK5kl
Ln6SmPmfS5uLxJGpJ4rDrXfatvFt8TPjVVCOAM8D1puvWQs4KwSxvk1z35sPieiKL00QtAchRbQt
ltKqIa98VQwTBgTXKut1UWb+NjVaEjzpIeGgC/sr3Vj2BhF+t2bKSf88COyLPCuH86zCxnlkf8uv
OiigOL9LMZY3WZeiEMy9+q4nJcO/K4Th0GggPnQ1dBllQaXdz7llm/FOwJvkBTKpBTmM59dMBu9j
iOiXSA/VdupzMa4zFUa3ijLgCu1Iw8o7OfHHoBzAX8wOeFZAj89xb9V3MzQPYgTiZAcVarr0lOed
2yppsQe2rbHpaw86bF10F6PVYuSoUpwZXqceEl2eCDe7aMJ53BDE3l4Tg6a+IBgw91Az5Qk8QrSX
cfhEoYbSWUkknNK9zdDaE8w+5Dn5MvBMihN+HFyVKUk+KEpc2WTkPld1Bh7Xn++ING4+j3lZxDw+
dkGQTUWetENTl7Y17d2cZJLyy7R0fQ1B/5cgcUkruEm9/nPYNQ8NEG76xPJH1xirIkAnAqH3tCKD
u5r2cvPaaK5em87YpV86LZqrkcDpVRryLBxznTIxBbebI0rJkuBO2BA9PqQl/09qAFZVdEOadosm
ko4HfiOv0R/mBMqai9chDm5iu2lv2P2OBKSVhj68mdT9l+nXYrR9QxRA0IUyBQiKYyEixPb+bvYV
C83sIaauDaR0jxCSxSXxIfbDPAU4YaSV7n99Pe+diZoLug4efgxTgUlH8L2tHFzzBFpI1fjgpACH
TumuWJhfmN3T9rXr/ktSQK48x0PYO0cpfXCua2UZSXmVeVnByseLvfXbypXXpRysc2lgATpJm87Z
gGNqO+QIzFfuXEWUbaWvvpqx6QgO9G4339u+AR2fHqU8pD2Ml67JvJfaG3R3rxC9qd1Mwq9W2Ipo
o36aOU/k5FCNHNhikgWo9WPOIjkrxkMZOIQqFxMC22SuvofzUN07Iqai71rFn/dtXBkARcfxEklj
YCxrp8kByzKi29lQvdqRiYabAyScPEwLeRSlANkVe5lYPqhaK6yfX8/Cpd9av8lmXbodP990CAou
nZoQgznNmXc3PadCjnwFvNublvOyl2acDUja4bj267u9/EV/u9BCbQrpfTj2+6crBI5itAUXKpKC
W9yEBO92Vcv94d0jXwpt9CJFHzmE0Pdtnv/t1UOM7cx2yaIV6Hjfmcwbg+QuOOYkIWcNwzutcb60
Ke6RqpCHejS4qt9hglwbuuTY9uuLW4yu3/3uqCqQzQnYMg7t2HdfMvpZI6qRrx8YKfO3DzpmnBLk
rf1QZYpjM5gWfvkBt8tFFzfUqKZEA4xrPA6KQ+yO1sPrB/qffOE37U0OHPQV/7m7uX4p0u9EV/zc
3/zxU3+2Ny3L/QNZKeuyj8dz6WL+p72J1PQP16SlCIsQngHkxf+0N137DxMnLClCLugyexG4/kfB
YNPe5C8MQjgSTgDV5N+0N98/aib8BMsmgNwPHFgh7B88im/4ekwoyOnCqXZGEMMCqBf9du1kATFx
SBpvfcObTtk4VDnDsbx7Rlg2POYu1c9Kiar9IZP5RySd9Q4osXwa3jdYEoFrwmX1lxfjzadxq2lx
l/bD2W4r6xzjgWdxoS/EWHvoapzx2u2fg6GhjyHLkNZPm73OG2cVuBDVg+qr6DpMSSJJCDsoCutx
pilh7dk3om/WZODrfnO/b36sR28VIK/8wTfL1Osn9nEZwBDyAjO03zHm3BQNK6Hy3dkZSV2lUp+L
R05IobPrgqnGwjeNFj7KAGXlHPgMNKbcdPblIPEZSIBxX5NRKQsPYcOJo0vpx7GX0ZgKpJfjLKqz
5CbvSRsj9EJtAiDVTyppXweZ4zZVhn8FDnEof7PT/v02BBwWAm4ErXUfjMzPtyGYDEItmkKdX5uF
dUzTfuXmNo8Gxft4o0cp7pvIKj7++st8t7+bsObQci8rHs8i/1g+1pu775ljDEAnrs5VOFtnK0/6
M7I1sIRR8vTrK73bXF6vJBY5ugsnB7LHu+cMP+E0t+StncPGdF9ajUN6D4Rpsld5k2zNtqdhyJkm
xC/ueLr83UPzjmDG5XlQqF/AHiPoRnT+8y/KsIHJwJLiF7S591JmPRtcsXwGby7VllCIGi8ft36v
ixYdUZvXwTdSZdRRi8m9HH1HmrRdMhLf8D6Vj45sbGeThNP0rTEAHJgGUXRrTwAHOTAqmfvf7U9/
v1FhsCwbCKlsl3eVNe3tjTL93kMuHxlXHHHLl1R2Kl5ZRt4xp3WmqYpPOknzz3FIM2+c22TnA3pP
UWkMwfcumOeaFnYcgOXPhm+pdIKvIDKS4PTrW0xOOJ/i7asJ3w49e4DYi7WVt3MZ7Lx5nHwZpqZM
Oucqc8mOFyE9yGRpbI+O2GHC79eSCLvboQTktiKCKlhLq9oDM2j2hdvY6xzB5V1TeCR0BoWOP+gM
E9mkgO03Xts84voJN1FbRdAXMjgYJOhkkD2YWJx1A9e2RRy+jWNLZPiOENiu7SEpD57fFXd2Ft/E
ZCaONJOC9gwC5qGzS8PZ+AOIFiudbNYGt59h6OgwuywSL3yOKEJPCbI3tATjINbaTEg24OtIj0Yo
IQToKZw3FmKAzZyNXzgVdPe0PgLSRMou2EWK8wTiFfuhTSyd76PAsOiGJ3n0WTgmIZ1p1Rqf+pJs
VdrgxEYQsnm0IC5+TYcGCkrjlPl9KqKRwx95AicZSWgHfA8kPNjiutWkN7patjvLGq1hy7mfFht1
S9jiUk6ibQkAa9M34jqJCA/dWFbdHdhqbI3viAS+sAuKjwyZkwtbiubeI6Voj/nWAD3gl/AH/RrJ
iolobDfkYbwzCFp4IW5NfycWu2ESZ3cmUpvYHuLd2GU1L4fW2yke+nAn6yjZINmBnsEfXbEBSUB6
A6mq4BiyzCArB99hUHvwT9yOZqiD3qDcSz/fxiBSzFuNqwvbsyRBOeNJ6nYO5zSEwU4wXsKmxR15
2+uWjglQjiUA8SudOQSpz0obY0CgjJAs5fUXeyqzzkEN33F4MM9d3pEzTWBRO++J1O6iYymXAUBG
J/3eDAxM1pNDa73nHgDNaU2MasRlQQKqooj9sCty3W79XMfmWhaIZa6TFlp7fcinQCebaSxEd+mr
zuGJ0hE0Pb3GEW4glUuy6BoBhePHUHQbiB2Wk6tyVxWpFKhE2LwisGSpjywcrioZEZEJnbUGqVuu
Uf8zndFFwOhKRVQFO6+KS/ooIHrndWXnJL2WCUdRtIH0PW5UalC213Eafjd6zOjmxqxtiLMufYoz
RW4cnSon6AIPzdao2nk6KJPVjQDDGH/1NlIDczghVZXuJlpi08FUqmzQQBAKsw5Gbyr2ECZTY70c
JD4YTcmsy3F8SmT+ZxpYWE2DhNwOf1xWlqI8Ogjki22edP7d3HcOgavEK1kXiU4Ufv4gsZNuH8mh
qe7ZjJ0TaRd2vusbPgFYD6TFW5qWMyEVjC/0VRkiYIeXUjWStG6rP0nH8+juRU7cQ/pE0rNKA0V5
XsF+mL8RPCJ8MvU68gadqcTgbZmpy1SIaKU1gdats0nrFHhMH9Gbo6HfiJuMFomLOQUX7qpsstm4
MKPC3UExjj0+rgiarQWhsz6CbkLAlAs30fAWiBCzMFZXPD6xs9B1ILquujE1PkkyXCaDFLs8tM8W
jCFIMyGTQudhKrTdn/1G4KGvyDq58vqKLSkmz4IfEECGnF2UJlb1TDpelZzAknCkVtqb0wuri7sH
l67pC3Acxm+hxcO768GmOFuaxkztSlSEZMQ7bc7AWUfb1EpbRoGayiJDMXuvPF9/bmTikJbHdI2G
xzJMrcKIv8cr6mzcVcuJfSaa171VnWc9WN0iP9SIs8J1Z00oSPDsZgBkRtsmXjWIlX0N9Ek8/ZiM
V1nGGDMowLbcYBNmdGe2mnuT6IoPVtOyty7YwcQTygKe7pJVEoONJbCZdkpE9g3Ggjy/s0OEX8fR
zXR/1QFpYZIB7+gG3isn71qXXLquZyZ+o112M7bIYPnll4+uWZ/4XIQNnaFR8Fv0LQgx+O41I1SR
D7w6TRHnKfz8YHFc91QFMf+NNdXuquS6tdyJ/BunAb16TLQc+ytQSDQNUozoREeagelsafgxYebf
l/kUG3i/JjhvqZO7qnyCESMW8wJGlJCIMZ4LEklfdEUu3GqUjNWdbjTVRUyZm13UTZVn9yG7xV5V
pnVuRdw+Q3P021XiJql9qsNY9GjzSffZTKDtgOAGk7Nv4P/kazNopy95kXs3Y790C1pzGvIPgFBi
dSBCs/w+zWJZQ9IW9zDnAEZmKQnlategsfpgAKOELtYgPQpclrlJ6gRUR6cuyCnMGCHZIIdZ9mBN
r4bEFk8Mr4Z4W9jVMu41Ikcc3aq22m8lC/J0QkDOu6GXFRunMaF7O2L4hi2bDE1ES/YMokDedwM7
rTMgkZZt9kmKQTwYE2X6aRadtL52CrjWqmQONBxTbfNXjaW1BGTrGKVbw23RawOG9W6usaJfjVNA
wNwAJikMFHNTqGWHWfvcHDJK1bxvMO7XV5XPdMDoCEbYJqBkhot40k2yDj10jA9UInSgRLV0AIKU
AXeeKExhQg9hyy4wtfdF3FrpR6tGDcUomwpsemw68nX5ywCgbZOA7KSTETX6cxKbKOCKAMXXMRWm
dTsqI2Ji3bcq3aZzz0Oa2l3m3IzMyr1z6UOnI1RoMP2rRbE1rieqG7XFVMxd07RiGSrMEDBWoVLF
1hqdkR5rQUjzfg7RWUBcx7mzmaLJVGgXiEr9QJyW9ZC9Os7Z6cQTz3qpbipRWSywdiOyXchAR8OD
e7aZoiCcxyMVPHqku+qN9uLOJX67CIe7NlILfCTmid42r0INDg7TeJmiI60vA9kkzg1JxYVPs3XJ
IEzH0YivcmkATynBxdkrqrG+uyqKiM8vRQ4bMwnzZEMQiXmcWpf3fvL9AClBlARXr1Xp/zopv+mk
oEFYDvP/3Eo5f9P/55mh01uh2J8/9JdQzPoj9CyAwKFrkS4aBpxK/vSCBOKPAJAv6RycxJGF+RxI
/nIRe3RSaLvQZUHaRZsDedmfXhDX/MMVwvHoYJv0ZZB3/ZtOyrszkRuSTuACPHWA24vQf5+hgZOo
xV8R10eoJEhE8ir2rh2pm/OMiHjz5qv5L12Hpfv45mTzei0aP0TWhMLFyrWcfN6cbAbFCa8NreoY
OJo9EXffOesd8TTxDVy27b/lJC/Xox9jMz8JqObZAH++njQcO4ApwPXwiFJPmg07RjZySO/GhQHU
Rb6zxYBqPWg/tX80H/+xKfSuGbFcHLmnT8+Eu7c0g3++eGuYaqyVrI6z7LqvZQE2clWQcng5QWLA
7DoLNjbzd2jo//IVoybA6eBTlIVMyH6+KuSDTOowKI+ytBZeUNJ9JeaLZVKk8INic/rXF4Rzb5pc
jqeXwcr7jjOF6tjYSopDQu/3IqAy30zLTKIMHeOTEw3+86+fofe9NmTlQHbAl9Pj5Mu13+saJzDv
c4zsHsz7iAmi9yMKpnluaT6F2l10Zn1qkWQIwi6YcuuuHbzqiTNUoNcJ5x7MvIEK7rrJtvuVHLye
+ViTKIQiYvw42eFvngIcX3zjPz30gWfRMrV4BE16N+67plSF9jrOyq4/cNKP3QejtL2I6XuBdg/d
Ad6HNrb0yQI4y8DutULkHZzuDCIWD7aZ+D6qR9hVr4aE2AFnv4KswrOk4DVdlHNoYf8kE/k0mDZ7
3Gu1CTiR74EeDceK3lYoeAyZUnNO9owO3ButM8ZLQ277wKwvmBmMd1aHSDPioIz1mvae9zkcnAag
hpzHgZq2pbDikDDe+KwS/iYNyW07ZOZgAB5PBEQzaUseuShr0XEFij7cYkZOLOsbTynuX5oDaTZe
da4Y3NuxmvRlZSYchXyP3sMA5ZxqelkIaAjwno5wim4M3UHjyVsZAjRqm+c+s5vnGQfU0R9yKsNx
GJrnsHSGG85WWCtEO7N8ofcnitWS3ksozfGO3hSF+qt8D03geGe0hvXgdQsPbEZ+7UEvqI7VJMZn
H/phv2ZgiDINt+5417uS37TJXb0qC8UFKWjAboGRoiEQau8FQQ2PGeaZmwgZw0MvuGkUEeIJVqb3
AoZ0vEtjFGAtTgdnN9UppTuzeJqRCrHs3Y9nNcliat3ESSnL04V9gzqKJjFTxOYZCzlYbqUHjqiG
ZNh/EnC+ymPeErvdYVgSYb/toIp8SAaNTLJhPd10eU+JBwie5wR3qvtSMzt/xhvNy99ClxHYp6hh
iO1eQdXhySBxCxHhIvuT5sTtd5qagJyec+Jm8BfRIG83SLWRc+j6R1n/wysjEsshonoBK+lm+V21
Kwr4Moz2Xr9/nOze2ulDZB8M8kmRMBK1bithnl//DNm21bqczIx1Y06Ayg7NLf74YaNxJ+8o73iA
0UqGG7/LYYnCsY2iC0sN0BQGpXvwh2Mo7mgGWxKfPcl/ZLMWoZmdoTEq+iVhmTPib3xo3hx16jEa
dhyqp1XkGPwATQPLPGqrC3Avx6XBsVBxcDb2k9lnetNC4IvuSN5EGp3UHl75KqHVcWnPYnqmt6i/
DhB4cWZA5Epv9GTY+oPi6084clQDvbgE0RlAWNh74WAAq8whanmDx/esHhonSrZjClkrqgQIQAcC
c9KODKJbd4dC2Tl7qHLWw6APkZhGJmX1+OCXPfCrJiLq1jYmDmIcvQkvtD4q024xX03+qqNjf20Q
unOnKaOxFkWD96lzOVrzfClN1pFIx4shMCDWhXUMNMi0a0wJ9XwOZQ/KAMj52SeP9YSYxT83ZiUY
YuATu7QqXaKpHA18iHMWp/uF1P1VpHi0Nsro43TDwy1OLthisu7gXogVHXOgBbCFqo1luI8d4IF1
KtuXygqI2CxMzz202mHJZpDIQyfNgfd+ykGlJxb/gi2lH+/Y5niW7ahK0gNDbHZphAp7WpnNs4eD
G49WQtB5EC+0Cm8Yxrt50SmOCbVF41rN8wTlmY5Orl9GDn1PmeezYNZ2/pCRl/4BGgQvFpQA5xiB
qdingeMcw0YQDiFERKw6yqYHn/xcNFwV9juAcjvLAY19omdkig+zaqxPpTSM+Yh2oQ+PDrm2jl5b
jRp3joQaffJtx/k8x4PnY5jJT4VooksGFPGNRNR0pM/8AAO0fSo6+TKhYGH1T60n3Eb9Juv5nkaB
LQa1rJWeRN3Yn3oj6vUanY151QgdMNmH+bEBJHv0nN4YNo5urTXvZYCkr5bhDuZrhcgM0Oludu2n
EmrJph7BiqyGMgGkPNktNpjC9YZV6USMLwLD/Vwgp+p3DTuWfPQSYdNoDXVKaA+96Ho3h2QtrOw4
7zGzqty4LIu056srI9xunRd/BEVcH1K3CsGbOuYm41faB1Yjc471kXqux5BapOk8YIk0d9Y5ZJQH
Dc5EbtNCuSwWLp65swzVdOToFp6NEb2sLGt6HQSxc64sYDl50aLhzf2Zh2YZAt4pzv6IxY3lUeph
kW7ipLbO+E5ZSzGRsqa/6m4Hm0/jd0Q0Ks2tWRcFBFNaPBmfCccdQPaGBBNaGxWP4LgIQ/yiSUtc
wYw7CjmgWmBoVa4HD/PPnul7eCmawlhnYc2VMzaTcs3oE7uDw+V9jukAm6dl8o62df86/5+njAX/
dQnE98ZhNzAWJtukzSK56XRFpHWPbutS971J18fjTCo7Q32tnJydAx0pTwSYD+8lKNgfFbRnTofo
aDj7tTU9iaLzAiqGiXPN/sfHsiqPdlibZFQSkWGwfQVA7y7aQsrDMDEW6wZq35II7601F7QdbG0v
KrB+QslxZfkxin5TCvgVdtsk17Y38KnTElHRWg/o5TeVTKfgjllFodgtkKoR+Id8v8WfrUNzCALw
dK5/6nOVteu09ab7yKi9Zz9BDA5mwsgudSNHhFkFNjC2DCt+0MFcT6ybhX/p0iSgvYKv7L6oDfPU
QM353kkoiEmvaS7zmalyXhtm9qh5LMJCspO3orMeyLhme4rlSMNXQkhZQHnp8o2St4zo2pvY1vsm
hEsIZLSr7qPljmbwbl/mvlzaforbaIBigCtrz6Y0N55ihrtFfx2ZT5YxuZ7L90RpeU94sNHfo+Yt
CMWA+xgn4V2RE+PAVtWIGTJNGLcT7WBCqmLrEXZHVMf7kaxx9DGUGyhGvG1quuRNRkWZbjpNL037
qCxLQ1CDBHaC0BNq/tkpu4G5awLxOplwpxE1cCpA215x+9u7GoTsMR8SDG2GAATYEUQxqIStZwrL
AypfCzV3gPWx14h3Qyjj2B9xtgRYmQkkxrLm3ILDTjeOjPudZcaMdGYLUec4tsd6wH2BI826q1yW
mBVliMTViKjOyqlIOr/Mvxup6+0waEQHAO40KroWDSdvILZgt/peSZiwxXQtRkLNeK4pDPrWvBZd
Y1575QRmxERHpKbyMPZeu6U2ju5Hv592GZsoRmg0hqML8NekrTLafXXL3WZfrsbixM5X7t0yxzoP
ZGYdkogai+KqZ+pPaGMyXZtTEz82ht8/y9p2zvVQLhOX2KSAHNs9cnqoe8ONU1p3VH5kwRNv/t2D
sHxynMFNU8R1IiOUrwo0iukD7vpvXutzQ1xSnhkoeA7zCzBwOAqoCIYGaHs0qNWEN4UVBPAngMgE
40/AoOcCWK0BNndqmyuVL+7kcjFEoT7miZwH8vUQmoMTuJlynRFoQ9n9m6P4cur46VQSco4KHI/G
gkUL4v2xH1t5JtjxmkPjvRb9AwCwlVwK318f1/52+kFxReQVvQyO/ZjHlvPqmyM/jKquz2q4RwUA
4hRRRGA9tPjCSMomo+3Cd5ejy+ty+OvrvhuiLkIv4lHIuVpUa+QEvjt1cSQvnKyGFTtmhf/SGaU8
lGqk8a+DhPWrLqvpzvcT1uIf1phfX30ZJL/7dlFWcCrmBedDvE9omRTwUW359UF7EQcQrAH2Q7is
utnrXOVP8VMj8ZIslTdsNxb314/wv47dbzp2WCsZmP9zw+7/Fi+fX8qXt/26Hz/yZ7suhOwHXsUi
psUKUYguZL8/23Vh+IeL4R9bziLx4Z88dH/5OmnXAQmEzoIaiSar4D34C91i/mGjmBCUAz4dIYSn
/6Zd9/69XYoK+nWIlm2oos77FlpmNVhdHNc4CMPAkJxm03zohase3nwnNz8e1bf6oPddweUyIFWW
fiVNRvt9vPRsKQk7bDCwPnG2zety2ji9GV6XegA3+utrvW9ZcS0sdkueGHBE333NsnmzRHAvMiUG
JzpMVi2uTV8uXF/LObmzSSXFieR3GWbO38iJi6oCAZln0pazUOW+E7KMufJaK5DRgTSaiPNhW3eX
NZUjzGYDjyaSLA7UiN8ce0e2xIBzCuzntPdrDSK19WKSF4aBXbkfiaFoELUeBOJKRFJCAskdU3nZ
YkffE9Qm9q+HlpKdnIDicSEOW+UtTlOxLwzZPdJ4qU5ikM3OoK1/jiY4zICVvWrjUMfuGaCXR9oI
07btVHkL1Xr+hoh2fkqoBZ6gvF+Z/ZRudVAwM20KUGe2k1/RT/HDdUKleWsrALqzM9fXnE2yR9sE
38WOX+y8NqnWJOwM6EAqfTDriBzZubX3IWwMKqRJb6H8gQnrHIUtrqvPsgk1h+zceTGL2DgUvm43
s0Se3QJ6pZ0wishfh0uAhkL0eunP5XiLxyvpV0wsmdfL0N2Z6FSe09yA0r8Zf8RxBD/COWjFLFEd
SdVkuwAcTgVXlud8bSYkM6xMp6w+9zJonrM+Dj+A47XvRGxCQdSmEl+zUDUZo2PJMLy0pzpfQXwe
d5KAAUSmoZPADKZoAx/rFtf4fMKGVk/M1KXX/cXUV/opnLAw5VFKXIZd8Oxlc4y9H+PjdergixhT
cx2NjBqTVuDysUz5XAb1sKuxKVHtIDdcjbVffpVlmewBKX6ZEOBuYqKRLmLaNFTus5cwN+TLSaqo
uGqLcv6ADMi4xWE3X5pzBIJGjVZ+9GGTGIvzNwL8Wxv3rp9CmaTNfRh0pbbOlOaXJJb0X7E8drgb
MMJt53imYDG6VJz4ChQeK/9LS7KTtoBjVIuNF6fqVxMA2srPXbCC3ciUKn4Uykh5SJtib8DPZQJZ
jms1EhNQk9AGXzKFc9Z0FzjscIGMXUwiqBlmL15oRvzhgPYu+PKk9qftGPjtXaQL+9KnavFGBuQr
NmiXR5u3Z/Ts4crJXZvWHMj+kvrTk0Z3ldvV/LkD0bPmznqfiUrIr5n+25t87rq71usMbL/hXduK
dEtMwUejl86ZviJJXdOszgaarK0WQAyrSgCUtsSw49ByS7viA22F2j6keagHrDNwUqcvlZ8S0xah
oEJIgz82oyALG8hqs8pwm8Rl7sEm6YkimAoCJi5DpO7jkVTMeKIXBcLSXHF+iuenXGl8j0zKe6Vj
vogaAso0qOzB/RPYAAgvHPRDMJH9LCwVxHimQKqgTMlTWhUIXlaiC6tqzwHKD6jU3Tjc0ay2vSPn
MGVuUsgk4U5h0IFKF5edv4tzPcd3Q+7xJ4kmGYjUaGEegjEChXQTE+YDK6XxW5VciMgYiA1Xkfae
7SYBYL4yKzxfW42Rz37Kem14u3bxf34NlmbJKsGSYJxyyuNe3ucgoct2bwmVP8PRzu/FQGCAJEtp
uVgAj9/siqcAjI4EF2lHGFB6Hwj4OECqBlekCUBYcr48VConbUctnfXRO6ATM8nmzqd02pQzrnOb
ATyBYYxJUDFFfnQ/Tb3GC1MtLE+rgqea04+pC5rbqx6B7SbvC/fYwNQ+pSNn1a7sZzqIbQR22Qix
7raui3ggGAJrZ2EQ3hQyxYTfiG5dKRO+t4H/nDsQiU+j5P+1yKXuZ2WCsvIqY4kAGHR5Ozpu8831
8crzQRaqte3SIYcqOG96Py6SrZx0fURpIa4LL/VfCozGycopBgupWlDeLgnkSJBDoABrw2/4bx4m
j+8MmIsnx+TETo6GD/d/Luv7uEwo/GleA88ZaxizvLfF5n9V4P8X4ANxGzXNP5eBD9/GF/W2CHR+
/MSfVaBw/vAQdFOsCR9VN0eI/1SBlgmmz1mGisiHGe4ttdFfVaDPZBa9fACjYhk8vqkCbe+PkOkY
MEDzdfxJWfkvAH4WW8HPRwxGSh4eExEwWUJaxrV+PliZnWEMbQ3aRsOq/TAYSErgcH0JsTuekVS0
28Sw1Gosa3JidHil6E9/JH6lvW/YVFpTqlM/kfbShgEYo7o3jqSq+tF+WJTbcMWMF45qNbLD2mzp
F0cIMkGwxSgfAm9ybl2XtbRcGVVhBcfZkoiyBPVaTSwfQh7mTflco6nJu6a5ChtpBmTdE3g1su+I
oSNgkdc2c0lCi02iVxotZftYhBV5yGDny8I6JWL0URDbkei2QWK6apcAUG9OnQtJh2kRzmDW4xE6
oaAZlYG/C+rJfnJR7zEUnGuLKq5zgZLsQfBM3rFPa49di/UnyB5YvJD10XvOh5b9y6tfcAOFX2M/
Q/wx2woV0haVtTlQz6iFWwVWme284yOofT7W9gXHgFmte59IqSgDlLDWiAHVboARPGznGpzwJqyz
Qxnj8KFG7OiIVU53yIwx3Gqm+s/Eh7mr0IkTEtLS+xh4Ljerz67w/taHzNZPWY2HPus0ZU0p4gOC
SVAeLabDD+mYIguahvRIq/EKsTQywL7/oOKSGrBQdDBINYAhJNDfxP6Xbozw3PX6ec48tbYh2eaj
c4zH/AlvAjlhwspORGV+jtNabp0o7+/nsFdo/wwSTfhKDQdPOu5k9FRBEuxCKmDgknfDnD75hf29
LtLuYlY1sLU8PsNtC2Dhd891qU7lUFeHvAO4G6QUAXNpr9TU+BdNY1o72c43SVxid7fzpwbCwwZb
Yr0F//DNTyv/qvTn6EaLmkHnYt0VREutFOmPOWbNvTu4rJkzDL7M8Vm5h5HdP4J8rSGuRv3/Y+/M
lhtH0iz9KvMCaAMcju2WAHeRoiiFthuYlhB2wLEvT98fa7JmsrJrqqbv+yYtLBUhiSTgcD//Od/J
m5PbjWJN852+d6ok2ZQTtULoNCAl29r9THpBP8FgJZ8uo5fD1MzzWtWWdo0UIIAyjX5DQq7uWbsf
rS6ZHku6DLa4B+A6JSrZlZltUxfCYxwaMRiz0uo3HcGzPetCvGka4W2iwiKhHWvedrDH35WVFXue
slUQsnasMgoc6DeZks8KqiVyMpagKGJQ5elFC+eNtHZbdrNvLdTQWPqAUwkc1coV05NhlfqqybNn
LQ/3y8KcqWhVvWKr9GLheF2Z7GsOcW3BK1Yy+TF7q3nvF8dPjW6VZsD4mD7WtDDiEM7uqGnojzaC
OAM/gvMB1fTaT8WJBAwdso5FjRob6KBJB8r6mFBoO5Hp/XU2BqYPuczUBWmpKGlFapKz4tC8MavE
peQFVLhvIOcCrQLh1ekGyAJy2eJQ9lHDhN6k7ivgwsqWVTh2X31eozGHw3BJKXpi9MVlEXlDzh5y
muZvmuZ0fR05cj6AHy53ohvnEXYCl9bka7NN/QKuEqB/qIzdj1HXY7KiJU5t7Knv45+Z4yX32siE
eCX1Wo1ngVHtrQWdN4ibKRA4/lDox7j0iu2YcDaIa410u6h4ZdmIiyC1tw5cg490GgWqdKStLXOg
XkMtnC5Uba7h+CCx01K2Eu7yOmHrf3YSNZ3zVPvglnqhdU5n6EhjSFF3h06r5ZkiiCwAl5MeSy35
Dlu3CRKhkueiSVEQAdQnJ8EZ3GA8sZgBEqxxQYf+VecicxlQmd6dknl1MDyM3Y453EGEUFdkCO0R
wdP5EAwFgijzkBMLjx1gT1kTwiQe03VYlRO25Fk/2eFcrbuwa4Oo67ozHtNqzfcBNq/pM9RS7lro
yPZDAaFiE8KCWRNtjBlLDJc8htSdzC0IET1mV91R6la7i4vt2i7xns9v8ICsnRwK76sR7YMD5Wxc
tRkMetPtXu05LTCA6tpamMNe5obL/g6NYNUZqvsJKyZBqdZpnM2smPNVbyBTYw9iNs0hG316E9IP
smrd+ZyMbna/aPpwmhMyC+XcMxIrJ7GaWuTdgYL624w82saenMglCIbwaUq3m0HL860B0zW7Exo0
3DYiICviUlyJzDH3XQZRzx4ba4U949q7CxkbSEQ014Is5bV5u3qattRie3sGlreKpwkLJnVlX7MC
xaDfNOje0LQA7l4dkMFA0/Vc0T55SeoFppvNQS1zj/BUvfc0j+Oxpn6m2vnFBLZaL4SUOSyrxAdy
yvhf3pyW5RRvYGVMBy2rv4dsOeVd2B8NIAurZbRqkKFOeY8BRb+D4l+tS31ON2PS6fsF285OQ73C
GklKeyhLEvcR8xlQRzNoWU5CAljMPXr2+7IwJS8ZtzC3795FlWVHS8EHMICIMT2Hw63m1LjjGsCb
kFCsNWbZDyhtbzOp5Z1UJ/z1xWMtSykVO+HgDwV8FZb+zIs+C2WMvs688xJmIvTjwWjPQAoGHu5C
rWw9guNt/QBD+C27JN/kFhuGYZIvBUcdv8haZqUu32ppZAMEYup+ml4KnzxEFuBNhnHRjvGFVpj0
wROV2uuuWO5wi/A2OBkpkRAf/8DdxSo1vLhzxQOjMx+hNZT+EE0UBEwu67qd5J+ipObqpiTse1nY
m3RwZr/0tJIz2VLcCUOM625epD+Y82cbcwgahO2sRnBYqzHOCB16tfvMbH6hgLateEMhu2LccRCM
eMMUv/7QZekbt33WnW5jv6fauTWME956pEJib1P05mu5Fz30xEUuVhemb05qP6IxjqRnorNkpLLD
XgFcaIpTtbbakDc6puL5l2dloz9ZENjnzl3LJbQFyEQHLglsgzlYaronEnugoiKqxLdVTqUVIJnQ
saqM6n4wlm6n0wO9I6fgvo9Zq7/1+vSVqrC7X3RTS9fDEA+7VHUmIxt7YGqYTnQK6gp6hRXPvicG
D3ODZXFF6MW1dj3rOmKo1X1WTY0thiClZMk2/2kbAqO3GxXSxYKaT3zMaeytUobFLVNSB7BrWm/B
GE7DSDBH5qNK5huITL9z8Xq8tljSPsuIUsYxBiqSQpXzCQ58Myi2Hjnuiy8jSgEkLXjXOCUm/bRX
ZObqVZLFaY8sMU9feu7mAb2Q7eNCDgilpXVOjM9oCSrtC7LKkSa6zmEuJappZ2hLyuVsD853GDmo
AqJ1GF5ZyYulGkmsLLGCphjzNWWtyleVWkDLweIghGFW18aUTeLPvBXnKRMILnpI0pJSiD5CSHO7
IoDJMN+XbkJ8wWjSTeiM3QYhWqwVv9e2a2xtCxEgLLa1kycvrGbZC4+4/jXHA/wIoDrc6amT7HVr
ZMcb1vahLgdISAl109lqtsf8ORJIxsdBI3nlLXFz8LQbAiumYBFTcu4dRN0MflygRK0mWSomYpG+
XvS2eeiWqXvR3aX/ZuY87Ny28o4kyLp7GcXNr8q0wOo5LdCzgGopatxuDDl2V8szPBfm9xwf2vEJ
jUZ4Puek3gsWT5n2SuZqHtZJyv1wRJcnduMCEPs1hu5iv0aZlizB4E48WV36urkRm6ljaGzDZpOZ
tEG/ZvEb0Qsbkq/TP+bADYG4xqV2ytFh3+Bblxvw34VEdZjyfd+DIKKQI3JXUmaau2oLxCI9nMIH
qKvlbipYXpvCexwL9sZtWfefZQEARIuddGN3S3RsSrakeTnUzDuLoXgyyOCs8CGJ7Yjn6C6t4FrM
BbDjKqJeW2lLDvCsUdZmxEbzgNmCgkZrCWkKo11uPaRGf1eURB2lSMsd3q3oInAIzVfXSZvqfori
yQo86nlqOwP7gvsn+Qa85AFrW/U91Jz2m+1m4kLLycgyyMeqo2UVk0A/V67TtLvUiwuPaivk/GM+
IajabWqs80WVTWC2Mevo5Oa0n7W2ueti23oRlCD0wUKvubNrMu7FT4YEIeHMNIzukmFIIOjMepOu
hRuNAYIZo85Mc8h7xl1TQUbS1K5vPeM61R1nAUo+tjRcx8HQzdqhHhu1b7gmg74zkztQFIkfit75
KZpKfullhjkFdGSXbqdCPbUZGuSbASfKL6j2OHXcjzj3QbgFduu6vytXRTu7L9iCG12s+XXSOM9L
SoV4YrM6r702zzZg2JYPnY31cYTpTAFxfq4cpW8rvu1hEXX3oIAVvMaTLK7IltZhUQnthvRDBhYe
N6TbuCARmbXdqtLpEdKJAm2nbDD8huK7s5Q1sSh+x18tu8h1N00ehE0jBahi3DbnNeKooLK9z529
psohqDi4X7so8TZNposPS05yV2SNWoUZK1NeKXflJFW8TSKoYE11c8okhc3H28bjJ4ibYZsLeW9O
sfetl809TWsGFhGdDkch5l1tUI2Z9X10B2UF1YsOgHHNdVNvAAFZ63qma6nkotRXRpogCYYFEmXO
YzyctOy9ZU+/qjyn2GlJaAaoWQQdR7skeJN3rQ+ocKZ8hGhTFUowtZ6j3XfmMl/VGO8oP85PU0bt
rBWVBAaJYud0V8fxb6VseQrDJGGhraNdWFHQk7Us/D3gmhlOhr80WFfhEg48dMb5Ie507zxMEZUa
ZWLvMiTwtYA0ttLbqjokunFxXYo62haHNWOP6IMQXBqU1dxlbOxq95xRX+uTy8zWRh7KVZp75tvf
UNa0BuFbYaRUvGmqfatNB4w6xGuJKVZfVWr4pou03ZHApWGyoEvG4OB5oyTTXT6VEZSzzER9cCI6
pJYcA6kZrwc+rRUWhFes5sc4wv+81BTn5K/IyrfrrderNVE+3ICTaa5hJ4hVjtP2kCYwT7N2CldF
pFOjR4Wf7msluvT65mDpIznVdxVQdK6W1tkaZLJ80QBPzqMou6A/6HrQy6l31wM9Wue2Y7+NJ1cE
9U3+mRiJ7OERMR1AZd5Fqav/HkuOaGmXDrtC0j4/ajVgss5BEVCUjcdTdyAag1qMreyALEnZ+6yw
xNm4ZISWHSg2GoD/x9EmSupPzmtsxeYSQVcuabEvezVkfkSA8mXoQkqghvFkEtF6Ziv1BOkJbbbp
nGNs45GjjpGNYxVTn7XU1Of0WhOUQ//uGfVpJIO3ilPxXGoseZSH4YokE+3jonVf4gkvCuBqfIa6
O8AtD62npSJ2aC2ZOJZzfJdoJYgbsktgvh4b2/gxWUk348zuqIzIR8aVeIPGTVX5UMrv1sI5pUeN
GSiteJ5oe/tRqtCWTVS6dsf0Y2TzPeE5Wi12cXXnjnkSujU+W+XSxqj3GbOVYWgQKObxWhv0I69y
cFrITt04bqxWzgmb/8LgjDNZ2wyT87VkwSKMbVqVzcsLHbhMDQI8d0KxtvWsOQhQVeOSUIY1R2HA
R6WcE/ExdT8QAsZLnWk3d3WWGJhBcWytBzc32nWvx+qM2cPd8we+lJXuj4jEVaYVi4ebYB+mnPEw
WzxcDXP8CjPV19uMqNUah41cOQ6OJyufDrRNMqrQjeeGRxJ1Np1a9eKmBaoy8mevR6837JtFE6pg
mBjWln506RNbZEmwpwbfalr1O2eo3yN3OUxc8D4OF32fRdop9Fr2OjnWnrR2DsoYus1oZs6aKGl+
UBbyX+0RvYLKVVNuPwk/lPVdEw0PWCG/9YIgbh/O1hqe40MtVRkgzDj7EsYDpp8u3nJ2QUBcCu1+
FPIlMSQsx1CjqRyCpB/lZrmNdRWtk6owMIZwOGusviUHEukoF8Aj9cz6VmPoPfQa4T9CrAkm5Pk9
iwyUs242N3QaJCvy0J8hANzH0aW43p7msfHTvhp/W60zPLL2iRVOAAquADIcmhoxSjdS0HuaPOWN
q6GzJIlYN3qW7eCSnUhvEzZbTAn6Ixm9HuisUZDy1uPsQJmXb2Ck2mTJrD5ao6reLFeaxa37Z/kC
bUHjhjFn2gfDx+be0XNtl/LAa1aQoacd9K3mzmHu5mNcSOMAJ/6hYdi0plB6/mSfxa0VKUgIqeHe
V6MZnpYu7r+0xP6JGmNWKy/W2kONDP2wTBJiXeIwHFSJPlKsYfUXIWK5nJvJrTCBO0W1RQW9Jcc7
gOnLQqbQqGh2I9OcTIESCXVcyTKrTaIEtcJ6qJ2NpLEG3+JhsEvC4WmOrF/sEKxHBucVLXdzt+M+
mCFLtAaHK/d5dG1W+LgUj5GeK7+NzXvXaMOPgj5QPy1C1zccQWdIfvOBHUfBpuYOwj4Nv90QH9lD
dNMmspuKsvHE7g+yZP1Z2Z2u0m0UjtNNJMohD6CFsacp8MqVHG7Y3o1wXWEvV81zo2R9rGuX4CIc
ao8OKh2Nb1Zp6M+sC+QIJs88j4mlPw18A3LTdb+89BkYd27jENEIgRpKP6HMk9mr/o7xd1P7uhq7
7ViXyd2iFLFsHlgexL8+Ysc0g2YkSovBrgERy8jLMN6KzHbecQMyVs/6tNsxvsWOp001m1YXlDAU
bOCEAKqmR6tXHeKTnikbYxo+WSU06LHEQr4t2m9p1YvCaMJwOM/XORumDIJIkayXeoL64rQcvCfB
I5otaMGQzFQ/I9vrNSOCh5l2d4anNqbMzIYLqfpxG4F+e5iiQbykKTvwABZ6wXndMi5tXYFuIKjv
Xlur4XnKWlZd8kUbXjTIhQczrtFlmA26p2bWuhdyCfpZL8Z5KxR5Zg6vrfnQWq5z9SjxwJFohN5R
02LxOedJduhad3gUwkQMZTDLXVqVLKurwnJLQNUgH4PEailpwb3HE6unrgFbYONF6RmFH5s6FmQz
P6aGgCPZ2aPFJ13A7uyaKA3wi1zwA+C3sWcl1reIxJO+ONEhpeTEL/N4/snJR7+FRstGbbHpB0Dp
aM6x55F9idKkfultC3yixlM3qiQPMy6pgMNOAoe1TbdKwymLUbU4NqAq9sOod2vSp9mdAvzasrM3
9LtqqcZflBEyuydSUwSUOkrfbmTIctJpDyqr1dmaR3dXxEa0hkCgtoySCeEr0BMEgMbu5OaF+Yp6
q/EQG9WTzv7ujrLpcQMY09whZzqoNFp8neN0wANDQHpiluFDeCtOfed9aYNB9YtRhDs7trpAmxeD
fl9uDeoJ43VSM6+NDfdSTjZxhtkaDjYjejwHjDUBQlPhx47RR29uABh6/YkQUnYHheizdCdjPRC6
3aTu/MG4PfaFJHoSuimyohHiPqqb+VlLTPjIjQFmQQAp0bjQtzEZGX9oZtAfLREev8pKaDgeTJHY
nIzANhgvd1bFXlZfcJ7kcvY5Kiy7uZlsTN9G218AeKMDGx6s0hKjQn6drJjaoZiHTQoBg/7xZcju
NKcmzsv4Bo0V8OhcxRsjc8nVkZ+wsoX/r0OPNKf5fuxKdOAhe/ZaAbSXxZpGlHUizeWGOPnwSkzK
XsTAY8QmTIAi1wOc99VGGJncjRITa5SSJKJzr6JLwPd6HZh4tNybcQL6Oa1fgKSkF+Df1D6JHRur
bjsscnjXJsYgwtRecWPqG31hhzzVGDwU9N3V5PYfhZfWD2NfP1Aol88kP1we7aCZmyDOtXuX8jm6
u0W8r8EK38lB+5aa058qUTaEpidJInkhyC89+dqNsGeiAg6uUtO+yf8Aav2PefHfmRcldLR/Nbbe
53lSVsk/TK7xsN3+0d/9iw4zaEcAZyIgfPPv8aU//IuewVAbY5+JwdETlnPjN/09bgydTUctw2xn
A5fS5Z/8i/Z/3GbgpFgZbbsePLj/zuQaA+U/Dq4x3AnMdxbIL0ns+G9OyT87ghM7kSn71fgwYcGD
s6/QwKx0ZixYO0BPSDHJQPap98iKVvPUDK0kZHiMSz+IOOPUu4YFKPTdKrcPy+JIALNDxSrT6Tr1
kzSAy60Bz1t7yLy0eQGaaVv+oKBYQqjGnI9S20JMGAuXw3Zo9WLV08jKQLrqbRrVQNGs2rEh04MO
ehsFVtQt5I7ZrAdcPTGEniokKxaqYSXZyn166ex8uSA+g44Fcx2hkJYraAOclmeQoFZgRKMUd55A
EWq9wj6N4ClJJPbXlhJZGK+GSfojH3Q8hraRPKo0nR9A/HfnJhLFtWBiXK6dqdJiUiYT8JTS0hGv
7FRdc0sNW759jQJbzbtotJHv6Ho+GrG7pRKUQ0lcUboG8wpOSxujzDMUzQx0zxBYcOeIF+C/YpWY
Tf5oiMlegzF/j4ZZ3VvV7AXlYpqXXqTNfqB8OIgNcYntpQ0sarzW2ow5bKKY9GI6Wn42y/Fq6VBE
MUpyalaTE3/ZCL1b6VQm7q4yOxpFkQeJPdXXoTEd3vY4iU5t38rzGJcmv1u/9Hc6jaqiqs6haoqf
dLC9zZDJedNaietHjdNe6d3+skK8itQThT5UoHplt/wntpYXT2pIIQ5jcPBXB3D+oPGxkz2mTWte
TfK9R5OoxiVp9ZrHZfyZCjP+4BQ2BrCpjoTS5sC6uaWogqPH1Vbaw1BNxWPeZDSYZmDl8FZCMOId
gbuRPTR52pFPynof/E37K5uWcCVbMZ3npAVHheltbVj8photIswdwuhpcR3cs6QuON6nZQVNHbpL
s9YR2Y5sf/QD8cPvnL9/H/Uyf3AGthYgkULv6hD0eXCFBJdByjZcqWhZztBvOj9Vg7bNUC22i9aX
V11wRTt2390BNQJ1jldCoTsz4RTtqZrM5W2gyCVZa10X43KMjUBJiGGrW8YhqLNs3FLoBKmqZjBs
eu2BAPJpAAfisK1hAFSTL4EixCTYLPOBYTLXYDDpbMd6XIW+vXTPmpZv4na5ugnP85As2kBKp63L
13ns00tsNvcaBjKDHGqA8HSlSCVfU0b+1SrH2RPJeJ7NuEQ2ad8Lp8k5+HDwQrERR+a1OU2yfFLz
txYROKtuR9Ol119Qkyd/mL1whzKtnUYAqWvI6FGQ6vKNxbC9FxC1N1rLzj/PIgtaRiufpa0xJ8GR
HxRhg9kSYcdOtYMTxhbnWoGqHNZEpItmmzu12KftYemSO/bhTDrpbED5OJchY3mGC2yvZBEUhGTX
I+VuG1Ibky+pErgCAsofiBhF+yHlbZ6XzNwTbJ8eiilftmWXCcBlCvxINoEsaQb8wea4b2aCQMEI
/ephlN1zDwKSB/1sMSwzYuhGyLU0QD+WVFkzQqwNTuq0l41mAYrfOheN+1nV5Ilse/GeUpMjlwSl
v4rdJLzMppvcW3H7UUoKd60a9vySGB+24jy/ihu9e28bXrJexCpoVC6OVP0VG11YXNI6AthQgOhH
1ssvM8vuKp5Y72AAVhWo/fl96T3UspD1eei5BpN5mt8JsbIL5uxeP9YNXgodFE/klsV9VcQSNqaX
9+oSEZTYm+iI7RaHu4Pv2AJp0y5ptVfZQNYooXEsAO7jXbvU+VGVPvqRmAy6x90cy6ELl2mlsfPG
BFkWFQW+qNhT5FdUDDDtTWxtYyxM+l0OUpsZ0we3eKnGfALIDtHYkHRKl92hIJdOPK/S6q9MSxnc
xfDc9TU2SWHfZw3B3BWpEneXUde40NzV2A8TD+xHswm5RbKRS2/fdIP12nK0PcTUvANHXkzrs+Pq
5ygP14r2Xi10JOEu5VzrXHNhnuMnPlRCdw/1HGobigpLZNK628/Ql+/jvM8fXYq7HXgFmrMFfseF
6y1j/KZc2YKPksXOoCLsg0wMVYiF26Rs2udO3kXkUDnESeVAGx6ZKw7K5f4wccysKFDj1MDS/oPq
TlE6HjMU9qEldDSJWg8ce54a6DylYpZr9VD/5LT0zErM+qNu9OSNZ3JE/VzRn1pzKe6JG3s/Og2K
bL1pPLrSLMvJDizPudCdPZJR/rsoTJuBo2eBHYzNuqdiHW9L5MmEMsZhX7Da+i37hzkgNOkyoQp5
F6HXxe5zP8zWHXO9/FtLaUo7FMw+KO1Eqn8Ia2k/8xzBHjAt0aafZ0Hm2nFU6BuZEUf7BpTOV5Yk
nmQxogHHy8rhMjk1Wh4RYu2SpETGV4L87hvtfNnZzFUUcRV3EsEV6+cef0D2Lbs6Q+guH6l9wAaS
wHjdZ+TeAoCf3Kyq6ur7pTbr0Id2RAmMaJOQnhLaK06KzO6bxUH+d8hE7N2VctiUWuo1Ky3yIo9t
OqORxkiHS2mx3qygPGhfUp/be8hZBPhMzW2ZDc0KZrk2qnfmQSVtW0vY75XRmWOQJmmNecEp0pfa
TSRul8rsrqnECrXSJrM+253K99xzSbrtha5w8yAuoyTG3tp0Gv0Nm10o12WiU9bJ+RCKYS6Ta4hi
uK3N2fFLBmcpBg+ZblmeU3dlMezwzUw4d8gT9YF2TBRxfDrBPPRtgBMB63iuKPZyG7muddwJdiq6
tYXJhp7tVj0YfdsFLUziu1wbekb3YdUFk5OqfetIjhlFXjZvWYM8vUqiHtRsP7XVazYLVWLo8CgS
UGm9/LbZQJ1CfVSBKexPRpHeLycui4+K0tyNGedDHrDEM26D41Vp/uhlrIjWNOv7BGrMyVuk8z4Q
kN2pmNJEX0QWhJDZnM1PZ2xi1EPDfPa6OGb+WJicgRiP4o2rRLUDcc4fs6XP3F1qxkzsshAmAGKJ
8TF4A/OY0lLvEan4B8vryDOkk2CUvrCBXEf62HMt6e2Nye8Y314tasQGxjx0y1Zp+Jp4XflrXjq7
3ZhlPB37tp+3A4plzKQYbRQUe7ZPGQPoMLBe69I5R4Qnq5g4B4SO9Uhnq1/OnfcgO4gLvSOjIPIK
JwksT4l7O2dv6BqRs60ZrdBc1gzy03MWrGkA2aNnMLMOfevFKBmsaabBmblN9K3H4IExg8B0L5Zw
L9J82C4SIWBRZr7pdb2/A1q/tns6cRDwe+S+3nZ+2+RjYkKoxLKRiZpfEX1yn7aswg2WcZPGVOnh
pWR+3p9iMVG8wjaLtoXQIvdBi1yKAz6T6bfSPeo54JuVK6XFOUuLOZ6qsI5fcrKSTyhuMY0klsb5
IOzvGkV6ngvcdo8Z81w/0tkjFmN0wHqttRtyqD1THg8priTN/tpieKFJPsQ/iIkCu8VaKWGv63BZ
jplmqMMIGuSOV5jfCbKgX+GSdJsi6bpdoephE3lmua/zyAxEtryoeRp73xBG8wHF0LmYda39NvSk
2f+Pufv/x9zN4nHLc/6/zd3XuPr+/b/2bf5Rfv/Z4/3HP/zjpOwY/3GL0QGK/vvJ9v+clPkShCqp
/+8TtIOT/P+ek/kXnLgh1t6ygYIv/ZHzk3w7SaLMs0y82f+dM7Kp/5czMk9qU0dJkpITN6ehfzR3
12SvuWi9aqc5LV02c1w9clLraOmg1xjioPU6FsNwyjXFNKJXr3lkaXt9dM6USeSZXwDIxXcmiwfC
G+Ul7/VnAutRQk91nW4qCdhr6UG1NoaDBWrWnE3KJYtK6pzVbVfPvuqC17H58MzihGvkZGojnGkV
Bl2Ds7QfC+aaQGpXRL9/er1PzgVKhF87CnpBWdUrXUMZ4wAEUUFfjpWnX2yjNUHKjh/VhM5uZZDw
5JyhaCc/bY59q6A3ae1U7tkxJ0yYDu6ZqPzhSc08cLiGSHKksXr2sRnN4ctFYmLRI/4WBMXVFCcf
s8JcW9XLl9UB2hiMr8qxX+u5pUMOX3BTxOYL+4Rd0uDwYt311oBhFybh7pkH6CvNuB+OvhgbPRqv
OjUzt3eAhIkbcDj6SRXThZZuyY2ZAxk1ixHsVIQjfhiHp8gcry6Kp4/9la1G7n2NIcW+wAd3UTQf
Mwp19wuqDo0LQBXpBfWllRxE3At/ygC78OAYlXyNzewQTfkHDMePCpIh9IyGrga2d5IXhGaNL3e+
yJzPCvfspvbQuTWZHRaJL3rqYqbxgjyNqHijRNyQH0djx86oo8tmZGB6MkHHDvvUOtJu72VcfHCq
GFc6JxJkASJYt5+FZRisAM5slONLJzgM3vp03YjgzKAflcMTdMjiHzPnr1lGcsqy6Sj4cHZu5VGq
l/AKqQx6XsIuJDhoc973TMJsLT9oSNw0wIS53DVWeqjm5bmRNRhRa3oqdCuY5hKrQdx0QVglH+VA
wicX05dbLcdBRFQXxliMs9p5TSb9063Ne29MDN+mBWcW3W7h3I4fc3haamsHjrjjQjV3UcFnpOku
wb5u6LDLLEe7mjE9jHyeHkV6AJW4EigS7kgaFOSnWv25jIwvz2TkQkNUSXIsPxjO8ETW6klO+U+h
p7OvA4sK8GE+maERr7KkU5tc3HQi5AjfAHWFBY733Sjts4dYWtUl3iFpnRXcz013+3e8Tk5O7JFG
035NnGbe2QDhVpoxnZXQ1Hsaap7v0A0YNFo4PJg2l10+RcyYamkxg8UoUTvzcOCQN+zbgpnvNGja
fQZDbF0vqrgvNTVvQGwNB3i9zC613PzqjPZ9Hhr7znAzxa5yqkiXBTSfqjSgMNEMnGwZP0KnYnMQ
Keqat2Cjy2d8JM9Yv4knLbLldFcIMFtxeJZl9t6Y80CcIOeAZM84aJNAdTNlM3JCWGjIQ+M9mxoe
uhXFrDbM8FyLL2WFmXXU5HOlAdtu6fTDdGx9gAVrvspSAMTW0nidc0p0sV6v1G2QWNw8Sdgxw4vR
cU6NSi5/rHhf5DyIUNWFwsWh+/YkDNzQ+Lb5LW7wIi5DWgn1YBLSBRrh9FuONmCpM+fV0exzL+px
Hw7ND9Dio7Szf4Ny/2uw2UVlZbBKWgzzp8UJ5x9XcY4V6JgUWeKC1rKV2dfdrVjnnFj1aQkN+9/E
qP8a2b79NI8HmkmoQRruX4kO+Hz60p6dchdxqwfgSQ8EWeOVbbKg/+lh+k/C4SjIf6EbeOAi2REJ
XSfj9Len158C2yOjZTMNFb1vXfbhhayGt+U4NcbZN0mxVnv+pG/+9c/8r0QFfiZRHQqSDWzSzl/e
y8gsvdhtw3I3d1aM23V44hie+5rJyESz0IV4vXm+HJuW1e1f/2jzBtz/R5oDP9u70RxBscDxu70f
f3q9FNWMC4mectcWGEXSqnARW8hOsVwc0yrNdkDOv8Z2GtB9huEAPZf71iNE0ZA6jW063srlSIyc
p65p7TyvYFbdN/jnxuNos3y7tmDcLLlWqxS0brMprOFKz9ezbsUQwSfqjF0oQ1NVEauk9e8tws/N
cJfl4V+/0n9yCZnEyQTACkO3hPgLL1NgS4KPJctdLNqNrCCjeMulWLCl/Zuf88/eUUkNAwwS3ArW
XykG3mi4+EJu1yoS4J6+48tsJHKtM5+kFdBLA3zRp45J40M+zBf8vsVDHPEMlUv0Uw+sy7etSpqx
gUC3PkbYW8EL90+aZ5/NZtjGLsu9BbnJj6KY4rJJTK/Rf7J3XstxI9kW/SJ0wCTca6E8WfSkRL0g
KLUE7xIeX39XUjP3ikUNFX2fZyaiQ9FqEgVUIs05e69tm/OuiMxasdeSi16X7V2ZTU+TZNnvzUQc
u8SjfIfo+AIy3g/i2UkozHK+RfQNu0lLsSUsKpZ0u3Qti3dt7ePZ3scxYnpY8pzS6+kioxiOKmm5
cefGWoHTJ9/Qg15uZ3PgEif9hwf5mxkGGAQuQMVUNfFdvx2ZC23DhipwCaLZeN1OTMxsNieXlTZa
+4+/NHbY794CekSCb8t1ceOrv//lLZAm1jnap+XezoY70SZHrIV/mDBf36SzN00FdAih/vme7QlR
DqGErpf7irbytk0QAIlw+aZm+gR/Bgro8IglF/iFeYVMJ964ZX7UpvATiQhfPYejoUlEDWLFFB57
yiIeAxrAsFCcDCP6sTiEnoNQzPY56SIUtSwIDvrSXuaJg4iqfvQ6/jXK0uiAbGsOAESNK8gVHTSp
pt6aEtmKxVF9108kiutm8sMuGYJNkp2QTRzxZs+B56RsUFF+TrZRByXougDD9F1V0iCnA3zxh+/k
N28s34VPx455WICFfPullGat7PNFuTdyDgpDXCRB0vXs4LWMe455Aihs0nU+e1eFDZkqbKl0Yya6
JmD6yQszqAFO2W/HUDXQHKNa97H+eUxra01OPbFvg3MV9q4ToLNDzWCma0olGsJ21AtuOj/p5vgN
HSJxAcn9ZLE75ECdBFKbdlmsP81sxFY1cRk7Kx93fj3eRbZDAVUyPkWt/HzOgG0QjgkVeIAY6Mie
/Br8x8cP6TcvCWuG+p9hAWA1zp7RGCGW78ah3MP/hizA8cMd+TgCZGRYR3/4RgxDsUPOxrDHKsy0
hkfXe/dONoLikSn6ci9N0hderehemB5DVirf4PtBxoFBldQTOpFMU2nKDjDKT0TLLqu+Ch2EKz4I
MWKwNz4MjRVcvA5bk/e1zYxLbfCuc79oSbRQ7M4SYYNVt98wwN5N+XxRuGoxZphFVvaCs45dKqXK
dNFPRLCvU5yrAdvVDemY3pbGKgQFRs0iJhIcbP5DXzELNVQUKX2UbR323SpHEXaYvOnm9RAUllO1
HuGVY+QbH5KOg6SHmTFYGo569jI+SKR0q5mqvm8ND/QabxAgHC0lyjHcHl8Wrif1B42qCSQGNSDr
ftgagjhx9Rq1k404e3xwInWAIJyA9wk8ad6wW8KpfwL4663dmv9aavbnBk0kgAgQA749fZNdtx57
HjCJ7Sfq5iBhJ7biIhef03i4G+H2BBYSWXDIR21Ij0vRNCsZ8QJ3XX7kULyjDVRSbBwYmLwdDoKZ
3LC/xO1YHjPDvhpaEIt48ugAjjukEAmCLVldeOzs8058NsHg/WE9dn7zerPXoQhK254Rpdr8v865
OQjExhR2sW9d+BXtcNfqrHuKzo+9Jl2r/dfrUbvqfIO2ATu913e+jLvtPLbjqkn5MZBu66wr0w21
z7Wnmq9QAqMmgPpToqTs5z3teDJik4xeUIStrynz6FuD++hUS5+CI4DNDf4+/7LkPQgW17oyNeaY
tJufBovtli4xuzh6QmhDhAI799hZ06YzWQ9jrFZBGrHNdtP+oRuYQaXZ3UnSRBC25Ce6RHfChopG
N59gMJlZ62ZcLsBTPmBzQUaF42ZFN/qb0y71VtbdncvpYJ8lztXAIsIhs3+wQBer3XyHdvzn+vpf
HcofdCiUuHym0f9cYTsl32jPv5Rvqms/f+jfOhTzL8Ea7nIkscE62chG/leHopMfyJRsk27l6G+x
995fBhUv03d8y+Eoo85M/1dfc3z4Wb9w9P8JQeEMTGd6nO95pQBOoXYR+jmYrpm0qWvyFilXLQao
e0NUJNNe2kOyC2O9JMcaIndRXaaZoY2PyQROfKrnuJar1q/BbyZDSdwVAGMLhLAN1GOWK+hCRB1H
Ju8OvatS0UkJgmt3vzzpm59Lya9srrP1DOI5H9hTBy8g6DbOt7eTgtf2sCHlIi+sCMQ1/WAtsEeo
qPPg6lcj5OL851vwH0n2nLPermlcUugGJx8bgIWjIF1vL6kluVVrfRVhFvcvq87V0oAam0KMCgEY
Z6WQ1HtD6vWzD8y1mYJeDC7rndMP4daOYqM6hG4CIGsZXJ5K6YT9sjM7XlyvhEK4qVQ8X8zZ5CE3
DeJnRFjCymsNSH1RUkLsNLKQclgjG0Kb7KmH5xmNJc9ac8D+5oQKrE0ISy9dWSvWa+NxKT8OyVaR
bois/SeGD5MYmTsO3wgNlK7te5gt2nyaFftfss1rkGWS2SotgDezIEZ6s3S1AYy2QovoRslMGEvi
w14A2jXdEGSGd6CJI/PBMLCp/SszqZVp8wxuEt62M/IxJjPxpo1lmwC9hxEEqVOZTXw9xQVgwFf6
MCrKeHqUjR2TaYTz3Hgw0WW0F8Sou+bVko3gkhx3durPptVDqu44474QE6Sw4Cwewx2qPPNBs6iX
fao9YwK7b3aK0dpOiizbVVN1gN1VwK2VtGOD0NG4dI5bI1rVdK9ALKcsisH0ytAHjQwBJMSZy05E
lgQUCxT6TOJZab+QSx0+wQ3xn4ZeBVhykJPFukmc29hR2YM6difk9bPgW3BE17WfiSka6j1oEGXs
qzJ4i1gjeSyJRkQgSqSuWe5nQKELeWs2UUYR+TrxcVFfCdgOtBJsC/j+AOpe+A3ptqCROg2z9oC7
JOZcfqt5ejzh3OXlBa+Pj7xpEqPbwK/jJcx9lfsgHXd014g8840IgTFhPzAolY7T/OB0Jhoe259w
qqV4LFdUEquXKO3s00zI0JMGTuhqHGpkTlYWvZgUYvcVyGQvSHBpvJQRPe7a0ol5IpOqAsQBso6q
cKfoayNPvMjDbD6ircI7b6MXf9JANHW3ZgLZYW0Tj8MuEBUsNm88XvJa7yZY8a0dAVYBo9FYBjoT
DvoQAFJGpPmNvDq+O8ylYoRrMPf1M38s0h81VfW7pNCJqnFUsZn2p/3SmlTTMDBAW5pN9c3n+KI4
GoYj3y08KfwmrxHEPBleLjcteSkz9vbhlqCOuv38ysHn8MmLoC0uDzjBuevsMli1FzYYLixrUyv3
0UCi4zYNzemGTXGzp2ZMrA154zx6l34ErpYpI+DI4G2j2opIBl0WnQUKdDb7pzLOTPlAIJ2mPWm9
uzSXHdI1iQrB55OwBWL6XZCB+4+J0IvsLhxSiU9TQzUfDiCilkEwQSyzCrlgD8iznPQxwbvgq4pB
rUP+JH8H8ifIWt4eVIYAjV8HcsahfoJ14PMeO4N6KTrsVTQucELkTOYVvqVeM6zAM7zY+TzlXm9e
p7TKG9zzBtl4rgVqPHawk3LkVHnKmGnSae+GkSSJyZB4KFd2H3V/W6HXZZ9kgtwPOX242BLxS1k6
3mqKiKvbuAD1KAhlBr9JZzgd28blO+9ySUIK+pHpk4edN/tuu6VpNisxw5rYFHi9zGsSEHhxV0B3
IpKDSlP546vK0fVDbFqLpFHvUuHXkkj/gn6X1K0k8q5KS/c/20MPtmAx7l3M73DLi6p/VCFrm6xr
4zXZ1ArGHMUHK/fRmOPfyxDxcGAzaAjb69gt7L3Wjs54WYmUbf6nKBZEfIvadpAKVPUcIgyqke9g
i3tCJ2YGVqF/0YiXW3WgMEDxlJxO4xE1jZGZ0de8Dd3vU2SFmC5ked3Bfu6xRsybLJfTrVO50Rcb
z9amYJFaVyWSPq8Jyy8GrYytWeoUxzH+2Cu9c+UNWQxZ4CIgpQazYEtM6ih/NNPWhbDSdttFAfC0
YZqCUpKNNxQj3qocY78thn7TQ1Ok3GRShvf7+H4Q+c3oEuK4k6jGts3cwJFIq3KH7w9yT+vkj2Mh
2mgrieu79FnA1nnWLMdc87MtLE/0UA3kvlXuonZNBqt6YNGpP5c2Nt51urTlFrdh9YmgD/Voi8Sn
HmjjonTcnm6AM1mrKBkgCMNU+YG/FW9IL8TeBMRPoKFpXsEid1Fn6tQiVtPMdmDdSnO4aFr8OF4O
m5EDkVUd3Hgyt5Ft3KZhVe+UTmeNwrT+nGI9pVphDs6hnEMyMOfC7a8a2En3fk3xTGsX4MZU1gIt
1YgPmWfHudLirqEvYxNsWJbzYdQM/7AQ1LCZWyk5H2FTafqZbIeydR6GZFj+1gG34+/2qdCW0v8X
5uw/7lDebeaE61r8n0xchT45ryc2VWF5aV6Hx6lDI0PHIg/00WIREpr0UAHS+yIpTf6zihi7Ipez
mU11n52uSxbN210RlanYjUfw2w2u3edEJEwMdWeyx/h4w3d2Cny9juNyFapuFjX3s93XEFdO3/pk
TuKaVXOqLutnGC6kIEwhE8Y/vxglfaiobJBpgp8dOTFFt7AEkRJ7OT24qoqpzxI4E0BP+IfRQdwX
ZSuP50avm/zk8+igJvLdWpt050h/y7gqAWXvbAxYSMCowbY0g/90nH63i0UU75gAE1CxU8c8q5Ya
KGuqMi9weKuciJ9LUBkTzoHVsGU30iYzj/fjx6ke1y/VIHWPHNtVdRb9nPVusz4XEQoc2YmjJIqE
eGws1Jig/JAVGHsja6Bw+KlAAyUQ0jZPWT4+/gBqcJx9ABVEBZjYxfqG7P7tIK1K0ehTnsHf78HU
jiNt/8kAl/j/uArdEZ9caFuh8d5eJQ/NEV5i6xyjLiYlIQGL+xqo8M+vwoGSqDTCkXnxzq7idJbZ
2Br34jctyTDUowNzInDq46u8P1+RqkaxBTgrXx6Eq7f3kiGJBfJV2UcTrNUO7RKDYphHokjmsCM6
rCaF8Q9HuvfzF3M6swm3JSz+dHZjZYL5acwdcdQoAH42wLocF31gK9Ln9JVLb8YzTgWEIfLxrb6f
WVTTEDoBd4sj5PxWSbJBn1Hb5hFiAJLpSmkEFGt+SQlC+PhSv7lFBgf9O/bgLpLos8mSKGrJpQoT
2Br0zbkA/r60Xf0Me4AZW53gENImf3iuv7s/h1fQEBTQHPsVovhLz2LQk9KKAUEf6SbLfVkQ+pbr
XrxrdHX4+fgGX9u5b980JdWxBd0L31XJfW/HTRV70tOZT44o9HxvlRqFTVEUT+5dPSzyqiIqq1yF
M9tkpDWcKthrtVdDM0zhVmit4HBRkTISme3fRtySTuItyP9vvMyBz/vxR30/wn3ERS4dFkSRFGjO
FpSSYm8yayQbIHrgQkmYwFWeNNbLIRUMtdRnW//xJY3385BPCh/7SkjoOJDeNXBz6iUha9xR8zT2
uhNQ5ppo36n725MGS6YKN2K8p4QQEWPfPA+DSi+zEn+6a1qTIJUm6klAZZeU7LrZwBjx8Qf83TMh
so+xYhCFqJ/3PnXIucvg8da/Rqqlup1+MSLNOra4xnEpNfqfyjjvxib+CfU2KHUA9ZXzCzZJqzb9
83IcRCheWpjO6WpuSobppLJVPr67312MupGlU6Bhqjkfm9DLwBg3/nycIpqt0DP9S73FAL5CZMkp
6eOLvfuquTMEbHSSLbXinTelsF4bNYGl85HwDA6WUdIxsngROSV+fCHzrNdioq2wHLV5oI3Mkn6+
M0LfkEwOnh52EBLutM4Zrg8QS3fZIxkzS3tRA1iQGxEB9IXTU5BcX7sWYUa5WgarZrqLgZGjkR45
LAWtsRAx55KLo8PuffapellbPVfVj7HJOByPZjTfdBh3SLj5+E7efz82UEBiQlnXgAWdb4US+ju1
W7Tt0aQztB7hy10UY5zs/nlgI8/MRkHhCPIIKem9C8WkQWN2wwT6ScKVPRCZzP03VeNvNJMoClFO
f6wfqtXrl4mROjzzocmrj+PQ1t99S+VSWEYjbXF0mkl8dxxzOGJb9p9eCyKO21LVaWBCPFbTZP5h
pjPPhwjdcROBp0MGgG5a7ISUFOGXJUDkYZeIMUmPCLMyMM56CkOg3c3O0ltmME6h99Uxskysh6qF
RuerADsQDlGCumUuQ3r46Xynv8YBLa+h2I101cECizmZzUTNkLQJUmnX8/tRKsxayW/C/0+POsqU
AtmzqluboLgnqYYXkk12D3Mn0RRjWwZNYDrtdGOT8twHULqo+2UUjsJV0gzAaL0Ix97J1lVsk47Z
4Hak2nAlnU7bTSJxbqqZBsmuwl+3oopdLgT5NKZ+SVlaL4PWtXsfB4usL6EZukagFPnjupqbhQP0
khxHDw2dGHIbm0BvxI2PfLNB/UztG3pL9WItuNR4Z4yU4lFfG7nxN2wE0opTDe8c/bVaFUPnKItv
BgSk0cZFO1gdkMdR9PYl4S975zWssWwW/nZp3H9tPocspPLiw6CE8VvzrsUlzfYfVMtBL2VGJDm4
49D2EYN72nSHr6OIbywYitVlFjVDd9taLWVdE6ICWS5GUWd31YJ+cy37ziB4XHemu0w3vcvIcRQA
uTbav6dW5y5GK7WX7xZNb3GSDZ5EgAA5X/OkJ/wgt04q5MjHva8hJ/mbzEzFJVRftu5V3VObS7Iu
m7YODERFfZqpXNEZoxDuFTNZsqRY8Bt7Jw6Nr8uoNOFT2mv3KO24dJOptCxfLwUlnDi3iC0tR1xX
dwZpTi0A+ozCK+fVSgbEwo8ECJGldAAu07rZuu8IElxqLEtrx2QKt5eIEUTaIAcJ00Uwi2E7NMZD
PAGGZV01huTqZ/qlV/fkdk85Z9iVmfhUGaNen+TDz1wwL7EZYGWMBulKS4iI/bkPoGavUMiRQ6kh
dirqZviGrfkipBCCcXaZq+mH30Ho9ZZhuvlZgrPzng9jgeh5EKlpvyRhHIebtm/Hev/ztcJYSeCg
emdG10q9l/I1uGy0Sdg2JoOUP6q91ObNTjCNS8dmFDWew8kszm2eq9mqmrmVtv3XOanoUE8Jdfif
rRnDEy+hbamNRCTY23mVK14KI1WVWEl5HrcIxx8gT1TgX5c/1wE6dBNTu3IvMST0iB30ZEId7WVk
yYNc5jUtao1OQz4LHqwIB2FtUx8x6i1cOD6IoVM72WKRQ0i0GM30pZ9cSxso9NhZdudVtFZP9pQb
D06aliLoZZjM3wlZZsimWEDF7WyQRrWOSVwfLd4/CCqsx7QBQHnElCsYK4JuDr490VnuJzbmGfFb
yHqrGg5AMtSQ/cJwUR1vLUdTm0vS13FOUZTcUkFbPEoSWICOha5PlNqokHcqKXHpUcb8XPH/2yf9
U5+UcgILyn/uk958h8+BffulTF7e9Ep//uC/nQjiLw5EnuGieXslyrPP+XfmkP4XyzWdVdNhq66s
Bb96EfhX4JNY2AylyEQz+a9eqUWwOOdwh4wiNC9sasU/8SP8TAP7dQXnxCYsyms61kvaevy6N4so
sjwOn7U+k2GsJBy94vrAihpRAqiw+g3KIMrk4ExksR07p/FXMIjkgZxRSBRLI8c0iHNAOXBIu5za
MX1hDRhwRA3S/wafIrweHQf5yoxWF5n/ZKwWgjZhH2ttS2YI7vMF1jj1das1tI0LRKhD5U601kam
8bJj21c9yXaWx5mIuCvmAp2laFkeQ1OzMOjmLsENPpSfTVwVzX2Uyanc6zQqvbUx6e7LAkW8ZN2p
YgrX7CaQxdc+noR+ChFElfvEXZLvGhKyb+OiJaeJn/lszxUIUci94jKmy8NK77YoikAftCymdmRu
Km20bwh/zi8Gy0+vocR1p2FstZ0RpnTh9FDg42UrtvFwDGxTNwK6YvNQggn7EI5ih5pxUWCeJjZU
X7FKW48clazA0Fys/L0KBCyhgGxK+rV72gLRxvR58iIRxnFc/OKm0yxni6StuNWXvLpJe09ex6FH
2PKgZ+XRdpGdpt4SBtkI2J3Tot4F2C5PONKAfs6uA9kSAuSSBkAHPhHp2l32lfhMe6q7N9q2BHIm
mafWppbS6MAtke1K2VtPlJvMLXnOHhMo/ZBgWMKQjIEMqIql405h73Gy7aG9g6jkpRvnNWNPpe21
KndPEMDnDjeFyuMjaKUBh6LfCKpXVdBWpnUFCr1/Bk4VPUoceddDm8JIIeyP3m4X2K/5fzFJgJbK
BKTmGxLRmZa3tt6JEySsT+QUQydVaYKzQ65gqRIG5x4gmaOhsxmJH9TxlQdZlqZ3YU82Ya9SCsOJ
vMLIqXZZanmbQoyEicP1W4e0Lmk1q7jD1A/tba8iEP1x/AacSMNpo1ISYxWYyCAn31WFKLbI71YL
gKcNx5pxDU9QrJ3Svq0YbeCrgKqqQEbwFA7U0fYz8ztz9kQPOCaUbGWrGEcITHYQ9Wj4jZ5w2FzF
PVJdig4YTZs7O6/r0yyoS7teC0eXZvRGGtMQ5ACjrqwBzkD5mik5EUq1Q9NAIw6dojLLkz5ZO729
YR8/3WHstEkQSARBlY4o5sh45MQ4JVvgniNcTNtYBK6A9GfY5fgz+nLWiDuCw5TZ470NGsoWLGlZ
bDwZgrGw4VidXDjkQdx2XhzGnyaxwLXq2WBa29JX0de5g7fEU9sX35vNTz6wJR3qjQGWVoYYJzZE
dKP9grJVpoexMqki5BXMz9WUgvEod7LS5HA/JGz672kG9tgbowjz9FVm6UP6nGWdXMo1RJ8SfWNs
o+QlksAHMtsCzV4zzKLoucBNTdskNhK+H62iYgz2Y8YGTqs+AkiUTNy+N86ql5yWnrdBYtVlEdp0
TzyrOK3um5vRenaeeUZ+z5ag7+BWdqUF4K4Msw4zNRoIHJykfmrwQvS+Cx/KrMdEoTfUbNgCSTPk
xTKmzevy89+V+g8rNQuo9+FKfVn1JG28lG+W6X/91L8lTd5fuP44oguw1GeSJvEXzBxPB6rjGBZL
+f8t05b1FycNU2eldrCDoNv532Xa5BfSYeFgbFJ/oQT7j6IBrbO6C1JU1WMQhu1STHDfKbTJsht7
FmZ5sMvQpe2VasadDoH55A1Jva2a1FOqeFf/2mpuSPS0L2GcluFRkwlMG5qGHBBd47LSnXIHiBe8
5mDkBTlemfbg1UW7dmNiCTaV3vmBEafTtUFw0nfkvMYliSP5E+casGWFhx4+LsJTpYt4WpemC8a2
sTjURLocdx10zX3VFM59j+jn6pfN1Z+lUTwBIRwEkTwGxUA6L6Ng0pBDBZPqMDHh3Thh6++iufd5
nTp1X3zuj693VrZ5vZ5P7Rx5FFs3RPhv90W8nzqU2qymAypJSIvyrxG0VQqqPIOPr8Qg+bWGoq7k
WrSukBrAdXrXR1p6x1hUH+4whk27NqEEKfGQtvOsMLlH2SJ2QNvCu48v+pvbo63p6gY1PIaprv7+
l9oJERXtWJQt2GxsiogIFByn1dEcrfvJlvM/q4G93iI4QHaXbNAcgFNvrxapnPGySPODoY82Z1JZ
LNvJkcZ43ef+w8d3Zqhi/C87WnUxH08WXgbqUqoI+/ZiKKPyuODEd2jiKbcCKw7bHOlQUa3ZY7Ew
zPF03cveuBzbbNhDgOpqBFVsyT7+HO+fMLVY/BR4z3z+eV4VR3jrzkVvpYemzzi8gX9v104Uhg++
o9a9jy/2fgzZqPjw9VAu/U3FWTZ+bsGQT4FGLMtt5cl2TYpU/x30QRYfZsLE07Vb+pn3h+v+7iYx
dHCMofrsOudVWjQxYxI5dXoox2YAwMW3OVr9OBKmQ1TUx/d4dq1XRalA6Q9ejFkQoeTb71UkGn7h
2E8OlHOiNQxLF/+HLueLaB6tx4+vdTbf/lSvovEXgqhh8apVffN6kMunSY0xtMz4b9ZV6BbHPLEG
Y/3xdc69b68qWcxS9M9eh6v59p4I12glXNHkEOr2AI1yTLkpnDgqzNCy7+MkYQ81URdAXykhkW50
YqL+YKI4GzvqXqkaM9FR5+F8eN6tGGYjI7q94zMMEHwB9zbmKlq06BRac3GsIs9eA1ud/zCfn/fU
1GWVsoL6LT0jADhnXyf5VUCGkI4eYkBKn2TqFEd6KvMVW/p4h+wcXU2nVcRPjPMUuUE4EsR4AFg+
/Q1vppGcLf3imIVluI90rTiGIFmO4ZJqtx9/Q7/7nPTY2RqgPxGoC856f5ltQZJ1NW1Ph9D5SpSh
kMHQ5D5fETmpzh7Reu2u5lRzQadhADmh3ZrzlVWG4aHPKnEBISQ8TIlnXfma07pbB9VHCtDDd4fd
x5/1/aj1aG0jSkAL4WHBPfuoul/SjsnH5FD4OiqpDI4JDNO27TYfX+f9m4iwmq8M2YHSP5yvjYlm
8lCIrTpgFlpufRSPpGdllX2Rt8K+//ha59M540TpGzxTaQNQEZ03smevtVsxpUznlczWkRcOawDB
fZDzqmzh0EUBCsn5wqBE96wVZbSbKrv7w4NVFsm3q4r6GBbtG101cVAOnMcm57LWTN6McO8iXZsP
7mtYU+dzXDhEfY1YFdH7VzsOcWklPaCfuY7TiD9nEqQfNviLFvfJEeQ8babBxwoN6bOWQYPNIQlM
2hcnQuHDY5w05t2SW+GPYepzsmvz5bSgksNM1Ujn3m1wo5kUUC4GqTPhtpiA7uw+c+6duNb3HUUj
cnbF3K/1OtEeyG5YbiGNWz25FvFwXUi9e8mhsX5dNLZxLVZyMKdTGf4oPBJBj8SDFqAThjrcL4Cz
WkoXcY8zzpVqj1ABk1qVlDdfYvBN34CdW4/jqwNoAhgPRwHy1o986MS4LroJfH4LmfoUWbzZwmZq
4aCXfO1jJu+qjewfUQUgKygLto3kJ+tehFLWx4MJl07sYCmyGSrdqf3bc3tzUwIVf/YaehR3lZEy
3nj7o2ybVYqWUNdSA6FHMX0Fd8d9XkQIdoBUopOrfra1Kz7GbFvgihLlnXGTXHvwK2s+sc7kTw2J
yNevjzfEGbQxafTf1lYDo7ta3BySvRERg2rCTTtloHZ6fPgql8d9na1ALVzIbmGGetVnlxUGfILE
KEcHeW6Q4J3UPLvZ9pI2kLoewxpIxKdewvMGSaSXN4q0hIFL8HtoC8YneE6gYxs3+Sp1f0RWIOUc
7XzE02Sc2SwKaWRRLioHWOSaybMtLDP5mkeFSWm4Ei+prTwKvDS5hHVXLLf2iB8i6KiM3ehDM12j
4R4QgQoj+ZI7HVPTYihonw78zVLjsFAcTA97O0j42OuS9QKZP14jIl225ZAzltyiW07RONOOCDl6
zasOJvEtWR0gMBQXjcpaC4gq5QbaVZGO1KFaBthGb+P6JR4jfY/Dm9FrZ2K6kWE8VSiLOTEAUtbA
Zijzrx6J+RRpeXrMvHzjLxqh0lJM1yi0my2YOGOPQrzaNAiZA2DV8hZ1UnLQPVlejGA5MdnlCe2U
Vj8ZVrkcqfY4exQe4UPUuZtK9NlL45QZBoE4C+ARudfF4u6yZKmDhixvaEOp9ex5vHZosHc68RMI
gElE1rVpCUzOfIHhlHLrT4AoQVoBZuGpmk9+MlwnAMCPqeFv47ixtmMfV0cqvFAMSKJdZcVIUlfB
beWZJwPypHKwWhCzzRaTeGeLZ0iY1gnDyjVpOFBYBmtaD7MnAhYca2s3yaMTOrDH2tq8yDHH631m
o0wsx13mF3qQYThYxYvurP2avJXEj+/aeP4KGeqlptq1STUcY7MjcNMug3mAoPG5cfDerwarJgFj
8ljV+tr8UljiuODXx8iYIINWxRKB3HMIL6rSjT53UJo3sZinY5wXTMBC7ZHI1LpyEssiy6Vtbg3M
jZjxoOgvi3NJgA1t8BV6drAchKw15I1+bwCX70mGh+JXhkMIQjGyaObCkDCIY47cy97O+UBVjvYE
mZa5PJJGYG0nPDIkvw2mf9EZRnPNRknE6xH1/TpDkvMooX099qY+3s+Vzf6hamso2fRm51OG9Fqx
uFwiiDvv75Sq9mHCnnagQVpwUXbRJxnpd1TvxjsXbPrGWvp+o9YflQJeD3GQ1E1x03buAsTDbvKD
0FBBrswMLqGc2YtgumAtLJ0W25ybMBWR4wgpjBXBRRS5r1OOPj3jj/CHudz6iy52/TgIcDe1WVy3
evfkYnpZG2MyXIlmgckZ5ZRS1x3x3unWTs3iAgF/ti3TzL7RIadhIOmjT10ajRdWD+w9CcdjOvY6
ZXSY91+sdMJCb5cw62DlSu1Q+jI+WgQpRitzBD63DAUDM2XvwBEh127zWbqbYpafy8qzt3rRDc+E
NHs/OjFl88opDfOBBEL300QhetnpdkK8RY/zFsou+7FyavY1AQFXE34EOKot4IiqouHZNe6eE7S/
97E54B02evm9Nimw1WM6H5vOOrmF0E9+KEfARb5xSZWTwn1Uurvezf3bPGyonZLdaXH4T2NBmUIa
D1pCVrXRkW7Fl+rfTzaIQhbhHFutNohvE/FWty6xRQfw+S25rY259mjmhkSv1OQZRvYOC06+dbxu
gKyWiMdsbqubqINoVIRGegjTxjzxBBPQQEPQ0IfdDbbNwPbLEz43kuML37whDsre27TAL/2IbHlZ
L/Z9iBNlTeR3tcsRx23zpfVeesWKY6LBktaOCTKwroJmn4W2gp2XJsaE0WhXURvCadMn66rXveqa
AHm2/b5VOVAptLTckAlRQexOh3yXU+p8tjOHIk7VRBeTZnsUruk+HCjWzt87juOXQAT7204QTwvG
wB+I+slK1nRCl2RQVoN9xYm93mUFiFasQdUxN+aOt6urT2Na5De1Y3fXHuXtvYWOyg8SHww9FtkD
lmucpUboXSC2CU9pT9NAREPxNSsb19lktd98EpGtdF0phXO7gPVcu7gGYNlSS0pz+eS29ZeCX72R
TSXywLcXE4lwuAwvei2o+7LH1A5RrXLbPYMORhOTZyfShWTEcE6o5qcbvvGEZFnsM5pfr5O+pqlK
dE+7KUE0nVy/r766RjmgC061teezBjaxhUqDRNW18LLuxtCH9msqsfKkTc6qwSSA/akL8KA2mf3Y
6X3ptt8cwVlxpSOhiX/EJEMGHRovsh5EV3JM6rQfjROXpwkrBKmVdv8IxHb4SiSc9xz1PtZjUuw1
cIX64lG0tuciJ2GOiki51xyBichMAUwTuPdp7ozkSsetu9Y8FZKaNil8VJWcyi4quprN2cU6QqQq
ctkQsmY+WXyqbtqLMtVPiGFyHAoja0ZFfHIR5H3vUHHOqrgnFKqZ9gbO8aMhi7pf04mvmM7mJbr3
gPzPAVCv/oBfimXEoDrEuMx9Zp920R6Ij9O3flbxvbEo7Cy97o71kvTfas5GnDBi+PpawVOQXvIl
xJuE7ootzil2a7Ncuaac9lhCw6cZFfyLZtbaD9Ppx8vQm6MHu6QLZVT82klM/qOBYhbLC9m2Icgq
tpO6ai0mj2yMw00XOvoqzpo7x3qCmw/OUcXkhuTlan3xhE9CX+meRo9pwsPslrjWXG9L8q2zkip0
V2R6QTQVigzXjSn2YxEhxy7h8KKyevGUf81yMybenXMyEGuwY7MT7c1JM+n+jN9x6/g7zvIiaCQ5
wBlqWBUlckS8YAdGMtDUJC3Yg/sZ4CzQ1m7IcMZAZlzMNoHLi/Gy1PziuOq9nTmTZV0Uc74jDnO6
bxyTYATEwae0HH5otW6tmoX4XWcYzGNCYXdDtMh0/B/2zmw5biTLtr9yfwBpmIfHG3MEg6MoitQL
jBIlzHA43AEH8PW9wMy0ri6zun3rvSzNlKYhgjEA7n7O2Xvtop/rEzITNpxpnLmf++HYEan1o9LE
aFDjs+twELr4DPP2EJ3koTFaXfGeldfKAd0QMuPwOHBtKarDnTYT01nbQYYwhaegl/nWbkaS82SH
FYUUQ3Sr6cPkgIHQddkdYq1+6TXKuUOBd3TCQmwamXzHj9cc+jX+WXf0Dgj+PpdGAWy33ovQJ1CM
5Eh7SO7aNTjakm+mWe6HKr1oEX7t+vSWJZeG0Ro2HfbL71JmLzAfniLSqDtO04C06/fELgwgZZqU
kU5+IAhT2wWSHkNaB3FZXUDaFu6PaQ28rq2MRT53z3UIcozJJ/PK7mbKI4ggZGY3YwIQ9jNHOwAx
tM/WgO3FW35OpG6H5eAeYEogVZqTOftmdyrDeoYw6oLUaiQdj3zNNb3bwVoki1diGaC36vwayK82
WbbPMkZtlxP7Ha353xFM0m0vx+HVcvt4P+EePI3UMNdh6IFZTuV6m8/2JfCK6DVUjLiKRoYxIYem
PxcypD0KsINyIkry6SgMA3JQk8S8LU64XGERW/0B5eMTcgES4zCSWhcLyt/skPWhYvvojq7xbpCG
KAXhNUfOU7v9+nyurMr3maazoXHhpPqcNZorGsQEJmi6mn4JBAWU/8FRGZKVivPQKfKGyLrTgwY1
qoiHAVKX0DQNlaHkrBLYIIObvsVZlf5WKbZAAvIUI4YgjSlE3JhCaueuogGIOg31qWB5oc+0zjRm
MaRvA3KwfYrI7ACCNbgpi2W6k+xxL1jB5lsLst7WLSJrr2cZ2nelFRTjXiczZccQsSwZVXqQotbq
hBne+KtcXHNfhjNkT6ciBTqDf5FXJn3LGosmd4YY4slRgd4jRaISyZbR/iGECYNbnY9ryZtowHl5
0ClyBkaODrUV2sfO8fozZ3uemnm2heaAAn0XzNlyiJyI+sqE+ntYN+6u6Dn+weLrHoJ+QX8wtmdo
y+V2Ycs/u5ViIyXy/OLlAU0B/L638RDRI1gnNZ8/b+x8az+LsD+nIdlW1AnjERF28/r5TxKsgE92
SNkvojI5YmVaTqBViZFqyErYTr1LlyD2zL1ZOPZYFJvMepY2BDXJh4nvATMdPi8UUTSKu5pcQwSi
8W6o+O3qdgT7UuTJ0Up4iQAbQIcsuj2GTaC+iULzBoqSZ2QdWR4VjZcHxF7Oa4P2jKN9ZfOazdSf
e1K+HqqJ8+5i5fZpQWZ7i89+1rg4eV8+UQ/PXUDZJ8e8E9sAgceRoxq1/UCiYr9DSQjypFjoitC8
ZDEYUGalNnB54Y+BPFcpzmOuf3uxronIOrQeRKLYVUlHMV5ukr5XKLnqRNOSkSlo9zYjbQsrm/Gv
tdT2XeCYgJzThQkZMco3dbpUJPdx3VkY0w/o5Um0XQDaE3uwEFyoSKgcJ5R7bA1d+tsi2oamCGXW
IzNgPpN6YMrm8Fu+qwnWycjHRpNy6zvdcuu2TnsUaytODWgkIpDu90sNZEWIYjmEPleA9lcDUYLn
9bGuy/BL5iYWuQ14Nrpa0M+PsMNMbWS/NjYPqVq/P0ft+re49vudE0IL2uL9mm9Hnmg/L30SQNyw
7NfcCeDwoG5MjoXius8tjtcOpmDuyLXgdyw3/b1AQL0ZS64mD7E8QBlLvNNKbOHetu74VYPNvCIO
SC9jnop3OAqAvdKcW8fKuYV9b2A2aXR6STtHvFeR0vi7JwutpxprJJZ9nTpPFAe8Q5IKaX+lJB1y
Ak5Ne0zawr1St/TfdLJ+vI1dVxdm7cvtiCzkyZDyzEmLF+6qKv9okCu9g8LmR0+DGi+1ntOzpuVK
UEFsqfcF1nNm05HTksclfVHdsPj+GADLbRn7U3ro7mdrx8k2YZh3VCPgKVvz7WiiDb8BFBu36TAn
dCxaguj7Ue8zEc63Hi3w264Z07ceVWOwXcLFucHS4dy3Xphegnq1vmsqn2CH7Tk52oi6SErs+YqD
9Sow+PevQRfQUsBnAlox1tSEZMJxlUSL/SOzy+6dUaQFbT/vuKdFH6Q7QXV6AMOavgEBbI8ZFOnn
hYLgd5R2vOFEr9dgb4NqjAI8kkW2+s5ib17Ay4I4jeKIsi8O8/FXHFInk/jpTK9KFNP3CUcEFH4O
5D2tVJLzIGMgw3JBb18dNbZ3EKaGZ/Lg4o8OG8PvgvSzyxjkpAsRR2Lu/cKQhhtEM6gAXL3nMZHp
WxkGATFlPcx8XMY0uHc1dqv5z/bzf4QO/5vQAXIa8sF/LUm8eW/Vu/pHMSK0v/Uhf6kcEv+PAFN/
FNj432hLOIyj/hIjov/7A8WOyxW2eqpoJP63GJExwt/iQwKDEsYLBJkytAKT/G+pGhz/n5w5q2OI
njq8FsT7iPn/eWDBqgzPLZvCm8bl9tiuqkdE0A44fXJJ6U5rSfEAC59ipPFEeieIgA62PaJ5doFF
I5j4Ugu5jn8UI6p+AmZAlzA9xengQDbzxkBtIkki8l2V+0zgDk0/ovC60zhDQUvMyKv9rY82TWcH
zWklvI6+VD+hQlIxFxGiLRcihZ/TMKoZTZJWQ/Oa3tf8BQry4lwhaBV0DBOntfHpI5UEfeL0yr62
k1MHpNfbAFejXhXqVMt4kA+llVZfepkmb+z5Xr7tlRzWtOGx7G5oKCKqJp7nlVmCL/gROBn2E7Zz
gr6iyG433tw2e7BL8X0l2/BNRpHZWYkw34vRLx+WQEcHMbA2scFDoS1Hl0Bt4eVkYWthUeMvTX0u
hzr/HqpAvrrKc8UGvWfyUyTxz3qa72Kb9MTNWDXzmV9SGE6hd18EhQ3aMnL2uvSS7bRmCNIvTAgb
YwsxW5vMaEqJDPc/aRQJDoNB9JvaT8N5Y5xgZEK2NA+DM6gX0CjA5fuZs/wSzY+kqM20UkrJuKSg
zELzbBWnvC6LD66H4LGs6H/uR+Fa93lDe2EKwv6kBDuRSXX7nEOuOC7xIB4ErP8tqcK5gJ2p3Vs/
IKXQEoyjNqF0vXvhr7UC2yh0ffocY+GQmK0DuPoFvbi947bD3sqJijNWOh084y0ncD8kEM+pXL6T
qE7tw8zgKAu5nP3cXX7ajRudc+V0XxZ7Tu8GS4qrsLKBiLfFmu+nYQmh6Bym0dduSOD6X/8nFIbm
+60VuB0jrMKG2y83ckz8tr+UFBvwyJpUmRoGH/CzMjnAy3iKLSc2dEBNrcyytxHH2j8/l4n/rKj/
24rqflru//WKevwl8AP9T+HYn4/5Wzhm/4HkGMNIBH4QMbaH2uRvfXfwR4gAxWV6ibAYvTZ/9Rdr
3mOi+veSav/hBatrFtNz5NAX+Hfk3OjL/nlMCY2d/6B5soi7wSd27h90PYlLNmYq4vrkxdmbqVjk
tKrEPuTYSOjyF1JmTq09yNe4cUhtwk4wRKxq03jRcxTvF2Kjz57h9ld1wiCQAzIJKVV97Ge722EB
arcML/vfM4A/Jtgo0UTMamdldfcdm679ZLnoTmFwDDu4kMu2i4vikBJ8vQeq/lQCCn8g9XW3nn1u
WkOVrUf8SZ6Rcq8s193Nxu85jDEWHZv7WbkBhzWflayezr2KGGUx7tlBEYyw0QCFxfNCLDUpWmcG
Z0wXLOfRwOE9Kp19Q9ZKVKMx9RHvRX6rMQHdlB6vCQZp8QC7sd8HEHsesInv/aJ+GaZ5MxCcg1Ez
DE5NNL4LtKusc6PZ9X43/SjaJMPAxVTFI7V35e2Hx0ARSN/7fXQ0pL5ujV9Pe5yFH7qcvINPPbwr
qpAAumh4d/GZ0wWHIZxUDdBrrC/lgiuawirboz3YINRunxqpDrqeD4uw7tOZuHAWlunUeQki2Eg4
Twxy6lcK/+4bcpFDk5jHxdHNU4Uq6FrUcQ+CM44qRloA+HqS8czejaFny1ZWr8MiisfKg/rgKQK9
PGTUjLeysf8iPSv94qI+vPGreYk2VhPA/kHsf4XwWdz1ojavaYJ7GU1H8jI1XsVURQxs1SLCfcko
dq9M5aN0quNHCJxUgVgrM5K+xuCkvbh7i4oS1GgZUc8zHAlugpry0nZrB9b4QqHMCBILKcd2Qo2l
S01TeA4fHnNymlMDNEfldu2lVylq/EXY7UVay8DKScSKBKNZGdJMkGvf2VqIm5kDx8E1Ufk9ckds
OFOatfvALdKX0q0F3U7Ce6amEF8A/Th3MAbxRq6UNfyz5feuYw/aJE5UZDjCgPyuOX17bXvUOxDk
7gbUwHjpMn/as63z/RkoRJ42q+G2GKFDS+xK0vZqGKnM2fsBY5zlecPaSdV8qr3g36ytGD5AkPsk
8TKBB9rxPIqgBXLCU0busA7wWxypWJLql4Bg7OpE/cKbl3M2P0UYLiiTmDI/VSF+UiUC8tS9me+h
i2ue0NFTLvd1XzAtGIlYnXSDEY/771iQFBltponiIJ1QvW0iNOwvZNEWdwDo1QcbHMmDg9f9Ciaa
5ekg4Oesr6xMyy4+jIjSF75XN3rMltzaFkEPr5qOYvzoT1yDvqWb3zXhX5c2aIdnVfpmS/VEE7pY
37gmnfoJSb7+Gk0N/xBzhXsORhaRHV7KmTGHGo+l8cvvn1daiSoJJ2aWjHR1ZrpCxQS4BOyIuDdd
QgeXkGOoY4tEoJoY9xvw/0LsdeNHj32Q+Wd6TNMTaGax63vQp242QK5jEMiqx0jrYoF2rjduahjP
mEZ/6Cgn980WIcnTWFbAy7tPKabSJyOtZp9zRUJ3TYL0e+LCzTZBQ3QQw2KeaIz5idG8Osqy3Poi
Fkl8TliKLxJnNgBMnew/v63GNOJLkc142RTSJc3oaoy3ouSTm0H0XR0wROkm/AydpFVLp8FQzUb1
xFXPBGNTxPFb3Pvz1pXAN0GZ3hG9A2hgfmC4+zzKTGzGQHxvi5gIVxTnBC67eri3TfaQYwyBqZmf
mrL/DYvlhokSyYwYd5DxPk3KO3hjfsRS8pL1CoAZZsBrGPKEXRrsKyCibjeLbey24kmzjzGx9sRw
dAonfPK78qtySucuhFq1oy2e7cKow80S4Y0rmvmumJKdmUB/p+LitdFK+reQGE9ueYhFRhAA4d/5
ETtnuYnpf+znriI1qoPrMI5kgeu4kjldLOeDiEC0V+4vWmTiBh5xd8MwiFmP25Aw5wY/e0efWg6O
CERJhhgH7x7vTPpGR/hVWfHPecDdTUesORAeRQzE3I57BuLzDg8v2Coo0OO2w1b6haxRfzvm5fLR
jMEWHloLAjdXh04Tckc7mXSJ6uiVOt/SeeMLLkKOehLscWnm6lqFztdw9b9GCV2qaW7QJbjeCe9p
tbPjAUx5W0GESYYLWY/dwRLiTdqDvzJ/8fdWdnTpufCP5Rzau4CGg+00EoyM3KA1+e3N3VNXxNGv
wo2Kk2+k/T0KLUIzq+qZGAjaurPl7bnX4YF5MqbxjpAOtbS++Enqy824LKwH3lifsnLxcJ0g9QJc
vHOT9Its1Ec+k5BkwyW5w0huur3HuV6D4nXtedMu/bBHN9BehRPecRqtHrms6L2HqfPgLbO/Ny4h
MeDtVpBrW3U7aqtxoxy3+6Uwo+6XxkWXTu6y13XvAFDcnYxVsiud8dVm7MdEj90+gQRzJJTiJ37z
N6Z1R3uW6VfjdAw8vGrcBJ6ptsIPrNveD76mc0s6BLchGSVt9hqX7MOt8nYaSfeVsCyYhchePxDV
j09RUDhMeOV6hoARtFV+OF9oWhnMMC75DVt4d1/LCACuT8LOL6hlJfOOHrNR30S0DxUNmdEiCyD0
zYHok4vJGo9OG71EWJTi0fOZvGW55GTlWcHGdH18142d+d7ac/3duI5HWhuTpoAT1qYPi4U0Ncq5
TaOLIdoy3IR7VzVxQgp4mV3HSVfORbmpM21I3Qzv8ICt4yXJgE7H2YsOJ+s+dPp4W3nuJPkSBfPo
PrP2Y1UO1yjofa6YNiURXDKY3PiLYRucBnHHsC1CktWk+1QGzT5VkuQ8WWhabUtR7pFvtORsJC3t
ftSfZ04K1dGxhdwXU51uaxMwXcr76XfbuO6902T6q+kLQ85aJL+FUgt8snO7g/eYb01kaED7HdPa
aDlXDacw4o2si03fc9s5rjyJNFgjwnS5LdM5PeByiHlZtYTTWf+IVM04qqdZypDbvu1TRDcgz/qj
dPNxO5iK/OCuv51ECWjFOmZuFm7reHkr+150O2Zp9XYC5bxdiAuESKfqAyIDvUVJ6B8XQT+6yOfV
V8Q2MKToa2o1PiwYJMCjC8XOBZObXkT9RZbKnGKvst48ndwRnKh+mc/SLZz1IelCsglrYkstT8Kk
7ItiN/TEBqwQjc0Y20/soOIeMRtxlckwI7Q3wYvXTUfQjmi9PDiZoRfdEezrbHQcl8e5dY7QUNS2
djDBjyL7hdz56BFWB3FO1PuxKIf9ZE9MBEdHbYdSpWcj02uRySe0bwGjx7g8z0s43aRlnCd6tYpV
zj70lqekYnV1bqLBChmhlF1eO+v435TZoxcykeIWVoZcSAx6I709y8rYEjJpg4IFNMJQGVf9PCGb
kcygGBkznC+zpgrQJJUExsadW25QJE4loNxxGMSuCQuiiJE/rpEZVYzYZRN6qXBP7IbfpsZ/tIh/
O9BtHbaZP5gvabQse2de1F1WBuJQjoF/q4PlVS5esV+68KnATQb5XOunPGndXZ0E5b2MuuCHWlvg
pdsuPxzl6FvTYK0rnPEXKHB3bwJ3xC4zEoaDJ/biT1Q/G9JSHxJYe1cThfJpbfTu3RSdF8FZ37FN
kNvRDOW70eD/UZr4RFikTEQsApKzkkFLJVW7HcdiAnbOuLSjKXuc6BwdaS8/JxYoQiRuN0AezYaW
/kfkGrKlZdPfwaXY1sL/mWMx34GxSC7MkHBIls566M/mXv+wfaM/oioorwbGIOd45Z88Mv3OPQHa
9jgk9kZyliGDadTVmaZwDOJ08eerX6CGpDu8fKsZ/NyqvPlJAZo1e8Z+KH2MXoIb8BcCZnv+UzYN
u74lm49oxCa5obGiDwMz+EPv2P0bx5dw77re9KTTZNlyBnryijK498oFoYtDDM3F9hO5i+aFO21o
zQtz/eFGdl57XWqCF7Zy1vX9KgmhZQ4Y6EcrFeGcaVlMh8aBG8M+SIb0miElOAfUSfwRZzYLxwjQ
8KlgKvhN9xHsFq9pfyy5IDhwhLdvseRHiGkG27TPqJ4FmVVLfEPQpDgoFkZshsu5WDmVnaHIYsZS
3RXZYN5AEDu7EKkOMpE1waEvSyMYTwouoYxDSSlAsuJeSPQzvL4eFqcm5GnxBO20Qi+oJAqDw3Dn
KUR7vVTj71w1DcNRXZx6CQ5hstpf5EUXGzWnEeWjulY9GZhdhnIVHfD4kOW6e/JKfImVkZxuGTNt
gkzEezyQODWTOL3wwr5S+NFDT3JxsMomZphtZf2fhor/dH3+t65P4tN/+ddNn/8L30X8s1twfchf
PR/HTrAE2uiFE0iKf/bK/26jOz5GQh/za4R7BLcAMvK/ez7RHzSbbCpx5OPr3/xDD8j5A2PhahZE
PYMHLP53ekCu+089IICAAa9rpQ3YDi/vnynijYwUfGjorU7BbBcscGw0masbGFnCvkHFGLvNtpSR
XoZj5TZ1Y3/TsRc6+6rFCoi6z9fQZR2MBi41ZNmj0NsSWC67+EsRsvWFZM6VbeEM285MfnvwPQPV
ConTfCotY0hKawOXtJZzDyFYcRBdNJKv7rat5xKEDre62iRx114DUDEXASARwUjBjI1o7JRQa4kQ
3QpfLSXGoxFjlG1tCghW+e5aNtTHTTnRFgiCyn1Gmrq02yIfaAAkhPeh5+nHZG88SX+l7hfqlxB9
59NSjQGiMpcKrkWsfFvQRYXKm2vs+P04rDU4yPX62E6o6qaxr5naJQJBSJPJiKg3PZZbNdvFUVoc
1wknnjWzQSqMjVUTC5Q3fnXqkC4eyqXHfBxZLU8MxTydtowMx3s3SNs3bWbnySAUG49Cl3qXK8UO
m3WzO5FBOC9gE5p+h6p0fIVWPL/gQKdp0meyY7sV66Qv7RFzb/zUHtzXtGZSZwKnPio3XL3T1bgP
s046nLd7wsKFQ8fOjwyn85XHVlT08rBNRi8JiZBXV5tEHQti4DSR7uwTLFWOv7O8YbYfZVjtXW21
WO01B74QGS0w61KT10saD0z6sRkjWLZ+L3YULnTpwrE5SYQ+uykbh5jmizF7o0tKgcwdswNBfgAU
+qzrEEqp2jC+LOz3JXCyQxVwNx6qdJXwYFwA7JIk7oEDN0HFYuq+INLKbwiXrV+FXYbM/0fHbDsr
0ye88Zm9c3u028hVd1AT0n2fC9SV65mGi8aZYN5mGYLxGQzyPo/65H4KZHeUaT9sB+lnF4wMU8SM
pKm+hLW3avPyof6wS0uc9dqb0E1ETBcQme/cDf24aRF//EibkejtWemxOmZaus9pXQxnQ41wcOsx
yhmIpupL7I8/OedZq3x72aVxPxPkWM+YZqiNwSRmE1PhjCnbtQlr/1LlAbV96LnHEV0Oil1gAoA4
SEik99VYHsWzfA78ur+Tsb38qHUDwEJm8wsGg+aULim3oMVJilQ9C5Hz2FnqHpRPeycDtjgGQCWT
HXdEhAmIAjgGU/yvYSY1I48EbUpSoCGWNRi1WKf1U+UDdQYP3B1HgAtaxFyHUeqTxo6G7jHI5bCd
sXgkByCkrmFlSZ30puvickNzp7vvmzQ5gAiofxHeNp9logTBgpJ26jQnnKH0z9Iu/J1HBxqpXOGf
yjpJqOncd6w834K6Z1KN1WLaEbYc4fqRXsD3SLdS5t0QPkDaSDN+bEXmENkM/5mF/H9F77LC/z+n
y0CldP5/tu+0e4v/uTsyDF4f+tf2GAV/kFYVEqbHjeG65IP890jEZ6NjbEw/01/RNeu05O/tMWQ2
DdIGA6vtuTyMR/09IvGYsXiEh2D9xuaKA+vf2R+jT2/zPxiEEY9jIsdFHoS4+W0vYtT9j+bOqJo4
gteqPE2QKrqNk1Q5QCyVsWW4Y5/Q7R07W2ywpeVw192ZTmLrtgn5Egvina1rQghn3jI11Z66LpMn
qxaO6bEYtA0C1NxTH5A9aOml9NpR5zh3IiALT/sDAqbZJUSi7uDzMYWk/WhKNpBNVVMiNEsSX8m2
EG+tomfeofzu92OpoM+bFiW3k2O9avvRuWsIGmy3os1CdKrCjbujCwin36vKWh/yiSqryoL+sdTJ
ywAlltFmtzaNtYqnp2wKkhdK8empB/Z2pueAaoR6NAIg5mLkuwjo/fEFx6/6QEdIdEfbsLV+5pE4
7Sd7H+/Hw4z6eNhWQ8Lb6BK/B1fmZhAWHc95tpkmvEcrzkwIazjRW/S+LoawqZbq/aQ8G9Be2Cjn
LnNXu1IXkT5RfuYbEPIAOi9KSqWOXbKoj5J6uvuL2a9qYhFSiaBo8nr+mT8Bm21EELzPGY+jL88L
QNfFqzU1P832Mpe4IdhAqAFCTvZhMvGu/ZUMGVce0L7S5r0ndUDQwGBsGjR+wWwK+vcd1X55jZH8
b3pTTLdlWoxnTwCuI9eEx/zJeybcFU53MzXMGbiu+YT//EJrGxTRLitgIbrD+g2PMzo5vlKlXol8
ZQc2XQodcQJD1+xsVVfFo9W4vAWBlRSmGeAXgukVwZdb6GuAPA2M9pFo2RUCZ0iMCLaRRXLJUQK2
G0/U9Ln9rUdE6h0o/SwawWb5nadrUoM9tsnLXJsnjDnBYW7x121r/LIvi6vKx2j0E3/DOZHwN6dx
n1vANm9TTvyBCDhpHaqJHOIDUB6eaUldfo3ydUSSrxfR51wEGSm/j/TI1eD2im828TTRL58RKCAB
Bv8WQv5KUM8UF5/lIgVNyYvqNpHpqHHp3Wd7W5PHkjMJNFQ9E1+wIFzApR+cMaSoyg5TVcvorNhW
SU3uBB0VrjcG94TWdGCyTlGZMmhB8+Bt6b7xuotlPdY16wjAszM4gK1puGJSdAgfE8yfbN8u0I3w
rHOdzAAP35i6TMwDtXdGx929xY7iybTk1Ae9nSQHsiOP88jxskPS97basV8+L+HCIv1jrpS4EevN
Xq4XaRqSXmO8gY/kEy36CWdtFpdRUw6k7rAi4V88FH7ckkDfvG1Xx1wwQ0QAR92G/PHnLTGgnzqC
zeHDm3OytCSHOfzvhXz7hJnS18OZFw6h8+wj1X6xoBla2ERKRLvoqDEAsGvXmxBRyX5x4+JY5wEt
CBJJeDvswOfiM0hGImHgfrBtLjAiJ3FyViOfT9qT2jO6tKJnAIw0EF3bI2xAJJwu6+S6SDynG/1J
VhedQwxIbcFJ3g6Ryr2H8hNyafVqZj2lFbiadqMTalsb7irDtgB14M4zudVjrKp4vx5pwuawqHnI
V+gYd5gLJoL4D48Vq3GFyZ9mNXW3jHwScmhkcfRm7mVcnv45bivyRxqn5nn8sPHPVbVqGDUxH7ad
Os866AY+wcafnjoudA5CmAjeKjuVBPepjAD03H2OoOvdhVVNNEmcl/3yRUF09U/TwBLpQXW6ThUG
QVTPLl9UDSDkObWXpbtkIiICxmsZMyPeKGnc20txHMgzJ/nGgJyti5UCXMAc3+Nb4ZoC1MUFjrqH
r7VX5BLZsPEJN2kd55lwBZJeiKecdxUUrBY1pOB6cRQzpM9kAIOHJ9w0oXTuijX/pWkcXk8Jjyvd
j8l65UQMU+eLX/Y8vZul6iOrBJO/PODqhkf3jLooeemLwClv/I507cGJbJwC6zXvuz4PsjXvmRnT
ev0TEencDcUI0zVA4rz37HUbGY0j9eMoA4iZdqFY33ql412de+v1mKwDrk7GyYvlrWTzP5e0UjlF
s+siw6WEKrwfziUQKwv5i2/6fedYzoMfcnfVdYXvhBDClCnqxNmdP8OV4L+YFvjldpJBnx8+V1Yi
DOBzmjyWL07hte2LwfRTfQvMyvVFgMQLdUZTHP1cB+/JGnpQDrJ5dHIS2uOs/WjzKTn3XbduBtJe
N+c0YwXGaQvDewlYyGrOD8M2FnHnbCbyYJ383p3z+cTy4zVm52QDR4hNJlpBYrlYkhuYKiiN3Sid
aASrIqkfl7L+xWm3juIt+UY4u5oKDK0OGr6i1uauqYDi3cGVpfbLWWIEyGI3KLee7MMP0TYvInP6
C3UKva7NHJuJc4jXP0N1OaOw5NNFl1w/F3PW3bDHxA8OEmEa+/3oHWDzEDvlOPousElZUkOdbcc4
y78WkQzqDU3A71K7e8sV8qpwvm97HdGnL7kHNkPjNJY5aY0WJMdAgc6cU/0ajYVTJtHfWmYRXafk
wcJ499D546ZsoqfU9QP72xzWVGgkBDVhenYYzLOqUn0Q0xjuFo/iddfZHYzX0KV4RyocZMi0/JLw
Ubc5YenEpFL4Xby1/MpD6OyOCZbt5YDb0VyCEtMsDh0zYxNqu3w+zOFcR7hiYJwyYx/gcLkAkG5Q
By738aSjiyoTtrkCZ2IxWeAFG+N89Z1R3FrgkO5pDcaXiPHPrsbxvgnzWOyzmL44pMAJYHoVDTf9
NNq3WDqw5SgrmN5rX5Rf56j5CmJU1qjJlf8ICo3IVa1MTJZxnxxipCO/ARcmPzBRY8g22EQXLrK9
DHBQUA72h9kqk5M9ynE3M6HfN3E35VvfLyuUKKq8jfu8RHhsD+EHsNP2sAwGC1Vd2CSnma9JgiOn
KqL+GKXm+0inIUBk8SNjUvCUB8xfnFq6B6+KyMPSQf9I25XI8KQNmQE100+cLs9WGcGZM0rdxkWO
k2JBOyiioTkQFeQf02SMrl1CeHMm1bNMGOoxtOJktFeNFLh8U5Yo9OOMs/Jun3FuuAA+cLBDYW6h
e6LOVTL4V+Et9pYPrWUsJYMvU0j/ZJIy3lsJ6UUlK9Yq3agefIn/lFOntVTOPZsA40Z/bA/YQsJz
3XvzYyawvbUkIruW6o/xukMwDGXkkCUDycV8YQr0/ZtKJ8h4XZ/cLmXwOBSYMUjvsZ8wD8VXMdf6
qzu51hVNX42FJY54HKqj8IcGXsO5hGDni55aeSxhm7+WHN853g0N4saycatnt09jfD2edWeH0oYH
7ETImXxkVMF8ICyrORv0YO9k9L7igAXm6ET1ms7Wq4NFxrLYgP8lRpWO2NFOK+bHzLa3LP7Zbglq
NiK6w+exDT46WLf0YOh1OJ1dr6uVc57L3ntPieKTu1So6dUXkChh4nESLOx2x+S42mvph8+pZEVh
5e+bfSFoVVjMik+2mrxjg357h+py5kurHXPNBytyNh3ylAQiRRj3fHY6YGBlqtrZZ1Ti86qgRXvw
VDCHXF2EjV+fooXO1QeLf3bIS1fulphmU2qNbQcfLKV5KAh7QkyQYx2c+yI8xdVgXqxKuTHbXuqG
mwIo9a7vNBUISpUo7MUt3oRiVyCleelQQJyXcKaTAnjisCx62Q+5zW/LqDiEbm1/NdlE5K8DONq3
LkWwHvxYSIlY+kmKUHZlSHqXj1p9s/JkuGn6mBDeltArTgNfGrzhr4lRYY/RJEn1pQIAUXxTYTfY
56YKGZVb0lncgYEfCkwkzIM0TGYsTk4ZhVt6n+oEgXIHj4ws6ELEb8wrWdRTGi0MqS0z2wkNHKdf
vGNUlmJBQlD7lo2z10KKsf0v9s5sSW4jzdKv0jbXgzLsDrTNzEXsERkRuTOTeQMjmSR2wAHH/vTz
eUpqo1jVqq77MivJVKKSEYwF+P3853wn9sweugDJlWZHudfsrwPoMDHxq8grbxqz5d+DsWRRYXol
lGNID/S0eT0zaPJRWVKNikHEH0hdEG2RxXwyrQWqoz2SiBbU7JTNSOliaDCf/SSE/wMKm2Zn/XJ0
ZlcU2BygbcExWv/6T/bCnmg1zc9pdojqkGq1sq4pMFtcTBiv7rxQ4uCWIdNIXXn00qzGnJvvXz8B
Tdv79Rlg39JneHzjPItfsEFjQpX1YnfxwZsAsK6iSsVsW0MrsjU+NIkZNiO5T500iYkjRku1lQAO
rnHVWU+B2WM4q3Omyr9+Vv/gZQkB78Ch99E1hNBP+qeXpXL6CMCsG2urM0P6xN2fLnrq55jIKKzq
UpvJpye5go1liOXnv370v0cU8Xo4FDfxFyM4jSi/PDwkrL4aFl6TmaaZQ2Y1s+SO0wQla/GSKnuD
KXoMnKdcRMbR0uP3b32muN2lfYsLYsjhy8OgTg6dPkHLJq4yYnygQsdK1/n9kyf892+iJzAJQczF
TCusX1+vIYxTwzFwqcJ9IAUTziR51okPOmXVeiE2CBYR1dafVPMFZX1+aDq0io8+TmIo7UNZNet/
8oy05vPnDzbVGfgzfAcYn8Vt+M8voQE0ZemZGw5tpiNIvsHSAJpO+AlvHXNgAPEfScHGA+laOPrk
wPmiGsGw7y0yuXixlNRnMF7Zv35izj96Yr6r25cCi7XSx3v/00dLDPgbSpK5B0wGTKgxyKWip51z
bAVt56mjqkfk7sAlRcnYirOnVvlpcO3hoXcHEkjJMIafTHPmtOx+zMVWxzH2o/IrdhfG9zRWzNyR
9kC0WuupQpNvNngg1JJctFN/mREG3387lKYlZZT9olWAapbTA7wjuk2GbJnu9Bz3hRpwPluwDnL2
q7T0Lf/kfbL/DlamIWXYpeEIIiFC2Pzz+5RYRpPShmvsSU5yDbTrBYB90OujTjXx7LnwU5eL6dV4
rOwF8WQqE57WnPbL40RetXqMHd1J4y2sbbLC5R95sfj7JAr6TT/kIceW+s1u9Z6EbTZ9EXWMArZO
haR2Nh7wpf3WSYmlCfHGz2d2XAEHgveP9/7f+9l/sp/VLEx2mv/9gvZSV90vONfff+a/NrQuZFYi
SiGFZb8pxn+48mGcs7zVSFaC7SRmbb7pv0vQLmtd0+SXbB/WGHkgPly/S9AuwrX+FgLqNKko+xeD
T4jXf77caC88MFn+5+D4J3H1y11MLnVuR9Gc3AopQ2tdAE/A/ZDY3tpj+TYfBH261Q7xLuHclDqo
Hja8KMbE5F1FAfZzEROZWlOQ2wCvWRpQAbUS/reFUWFb4v90Ye3I+Vw3eVu8pIvbnGu1mO+ZE08h
aOmcUY6LjZg3pYElZp8afv0suk7YR9WEw3CanLQdsZDjSUmoxYC0YJP8y2c/v0jSEGurjyDOzsbZ
7GeZgjwB32Vl1YKjb27fht5mu2on4HGGyZzXcxZY37kA995qpsp3h8khsbdkPz3OO36SXoqhHo99
0YuD0ZIkHeoykyvsyxMag7G3OaxAtAgx+DLDJgbLLxaLmg04z0v2MnlK0mfqyE3PNzYJLeogssVq
2Z9Bzoi6TV8XMFwAuOOrhPrASs2uqVRYL6SxFmvFO8+rbC69dceN2kM5WdSdYuvt34yW8L7xisw3
RLazqH1afLkc2c4qw70RbTzl26xlgHZhZMt9G3Ap3nK8GC915hapnpSL2bLMaucvAVtDEgJJ0jkH
3C8J1BR0Njn04mbpJ5ozF1ajCPXTdkzyPkuGVRi3pFGPVplb4XCDfMGSHBqkRQ/UR3uKEHIjbZhR
A0uXB4XSdlc0oTG9h5WQ2Y8wsxRJDRMGwNWulFdaj8gF1s7vUl1zQ8GKeJUjlaOYnMLhPEK7PVGe
osX3No+S9Vz02TF1w8rZtkV+zzmeFS0qBbnvfLxVVCOszDRlHVxMOaQMrplrGq6tU5AROIljk9w3
+Ls98JFbjAjcTv3eTTklFKTjwxbMBiHs+BQEnSCD5/Bqr+0siA4mZYodKYrZO5aT2e6gDKkvtS2L
b3bXWA4YEuV7WG+WBK8ccIFV3HEuWlWgy0+K08PKdeLiBNopsw5u1b8xlw0d5kjXuyNqBnG9Blf+
FreueRNnLlGMCdbu4LjVRvBwl8J3JHgHa7qvEHP3hN+D7Na18PKUTcBSP7dNAsUWyyLGATVsgtyv
jsNoetdUb4xXU1e4Zz/IllMVLSb2HpNTcp984TnidjZLvOdFfPUTBQKqd/0zp0WqtKc8emO2Z5+K
5LmXGWCKvAHkjzQnn3EnX71KePf6k30bWcrcCNNhPmoszrhiXmGE7taBIz1SatJueQWk+aMG6XZb
e3n8GsuUbtbGpc53yIuDKnzYR6kf77OMDTbdjmDcGqne7ZH2JOm34WPMegGTXmCfg1ywJjAJOWcN
C4cIlNcyeGeZNsYhwyP44jUos6gk03ieUsf+XHqosque4m+9gjGdB9/WCTssuT8MwZkHEF2f7PIl
6459V3wjjhqugVRT+mj0Mx0H+eC7j9IZUUJsMdTf3A9GDLO1uarz1vvalWiZVagUv4c0jtQ/0z7s
SGTEfgChbPr1Se/31kGWZVsKpdnUVXFwIDrI2kSSl1/1uGt3aE6glkTfpTdWmPRPXdJqR96QP6mp
uedjXT8E9nwOEajXXh6F5KkTGRCtbsQpaA2qfEO3CN4nv0ruwiJID0NUV++cw8NNYVLJvZKlafoQ
HFxO+6YFxSF7IPAdHGdnmGgGmL1Hy6hlifwy24ewd6I1xrznwMwsxCAvFishmvSa0a1HntJ03uoi
ZkPIeR1IrEWcH4aC99mD8EVXkVweSGena1e040ueKNzqTlZf7ELm9P6J6Zsx4XRnNdL9iInKrHOv
WbY1vEmQO7bzimGyvF2sNLwdpmC5mytcl1YRd3d228qbiPqGR8FhNl+rps2BRkBv3Cpit1/oH2o3
Lo7iB0xsdcfiJXFoR++xqFhd/GOCBHOoBhBVjt1hVFz4aGHghO+VdPOALSlOxk0FdeMYjDonGwz+
xW4WWjIgs+xcxt1n/IfyJhi95FSHrbxrrGTYsJEZeGXDZP6OuNA9ekPcZGvQnMlGmTOiTmKpco0K
xH7IGuzj0gJtXUMw/16WKdUMUx2uHM+uL1MmszWW3fZMwft4X0AXwc0aXprB9lDR5zSJjo5v5JfE
tCCy2U32hj+YfSILnouQwfxowuuibtpPwgc3nIC7BN10rKcodVd1RPRlSFLzth1k/lKGdfMSB1V7
V+EU/iQxvNz0E33TyRgszxZ2HwL4Nc7fdpi3EfueFdokXd3I8SbeCez33bEqFqAHseifXTbskGhc
VW2M1KNQ2nNhIZqJedcoETtbQQbwVI2G263LHDiql80liMIW9TGoXYfXsRtf3Ul4K29I/P08lZDt
siZaTjrQ8c3m9zfWdURQDprQuPYzM3yZF08dTHfhRh8QIeR8GSvEGAJuZ5FK+RSJAZySwVouX8VQ
0t0NWvW5b+p2p6TL3vzfw/H/zKZBtd9fDcfX7+N/nL636vv8MwiAHiH9Y39YNJy/hUy5ItTdP+DQ
BF7E3x2MuDc8/g2txsBu6STiV/4Yj3EpImfCvvUYq6GbMrT+4dAI/kaLEaM2v2K6HJ/9f8Wh4Th/
d8ozPVN4wYeHUQCp+0XQsJu2Kh0YYIdwMODkVa3TbecY1/5NEg3eDffpZniMSYOeahPzH1aKqrtP
pDGUtLhYONLbdgCP8YElogDMAWoJOsqWE+JbHLnpPTs0cy/yigb2kIvHMhnjNc6txNlYMx7Eya68
V78avgDDIxRSlGSrIu+xy8EdqzZ8qjXKp6gkKKbaLyKF2Cfg/uGKvvSjCwIjYOB9UH7trDrZoTbm
Ft41hAX7oarA6SiNFal1nQIVl2o1+lx6XE9M13KC9MImzHqIFtvYlsoIfyi7hdQhUdrG1VBC3iOl
whQGjlF+gUjebZcRnNDiwnj6eKE+GndbkXzl/U/xhCl+GnI6fJa8XSj2oamyXmdlf1zyzF0Lp+cH
lTcqG9IL5XfYMsIyfOFM38TrqgjM1w/c6wfKhjX4cijNaTl0o2JMN3oe3Qo07z0zyBGn1DCMaQ2E
KenC1qOwKOVWOJJwQFcJel3rFxuf+97xHoMuK8uVjzfl3AYqNPfaysgWnT3ZZoh767WFGAsccWIB
R1kSzP5AFsaPJRk1gqCJMMxNybtRqOkqMRbtP56f0s+KTzYFBhl/h8nT8WZUzFRr4Ytq3JltX+37
Hl4KK71ll4IW2KoA4GG1aOqTQKk7x4FFKcKKoGc+num1S5JDVACROvgEOJ1d4omc3TOWcHbs0WJA
mqzz0+LWx6El7L/qsqHfdZBYXiV4VX9HbgkUFx8VWMBdyWchkGCGeqU2PHq6ZpKheIN4kvfI7Fd8
ag2neExkO782MlHnoHLCpwwizy5x7Nbf0GDtkK3s45uocZOXbNaFcRgtgILyZgegFnFLdMCyhpo/
ZLZ4xhaqoqr2HlF1DHMNAzIKt0+njlw+Q8+b94Grwn1R2M6P0XfoJmRtUMKFwOCUbGI7S/NdmJld
cs0LXPZ03hRy59e+PdpM7QPv8GpooVChu+bqARzmfEkXAlqOLoUiGRVdSr8kIDHEY7C3utDatWyJ
PxU9lVJlAGVolXP7hI3YpWWwzy1TPXa1++p1RX8u2SVCWZqz9Qw2jSmzXwzAa3lxKeNo6daKVoJd
qmuuXF141evqK249rs16IWhvF12NpXRJltJ1WeBcS0hVVGj1ccUhWNdqlQK9dBE+1OfQXU6Jq1c2
OSem9ahLuThrmSs2tTBdI7w1q1HXd7mKkw6GsJQPla73qnTRl113dH6Zuv6rx564JwGhLr0uB5uI
Dd1UujCMmdPeDqwldFOiwhAbf7SLBbporCB/1ROSNMUrmY70EllUks2kE76TbjiyLGRzqovLqo8O
s+yjz2z+6DYz+Zkvy0fjmZHp9rNYF6E1oe5EGwcrYXMysAaG+rk8Tx5VR4suUhsc2VJELutPhu/N
e7sRmL0dSMqdtunCj6ooRNKFDp27AYmotk5feRZfZY/UTF+M5mbwyciOkazvwYCpl5A/v0OVIqui
oyxrQdnFErenHlbr2ph9XcI4wttclboZcmU2fb9eEiLta1GBQW/hLj75gkPjeiqYxLF+ZDdDl+Uz
24+UVWxm+yyQfQlEOxymfYKjB4Zh+YVu0GbbprN9rCOc2vXcG0/A0jQMyk6WXUjs1OEhik4SP1na
O1B++ekDm/XBrrf9gauS8gEsfVxZmryLfoDAzE8gtyhj4SBo/vYtYvHD8lKjstuxpKHeMLmsDnY9
cNWYucO0NdU6U8zlWVaF7fJ1GO0H6CcgEjhb6LIcTagrENovozkyxyXaeHvltj1fVZsTjq7r5Xc6
WEtK4Obf49L/ZFxiTWQhqf/3WuLx/UtS/zwp/f4TfyiJloVcyGIAudkxP4S/PyYlBqq/4SMFnmZT
AKVHqD8Gpb/QES0ASoj5iJNMWR4T1r8yKFFN9auOyO/AORLFh7UP5tlfBiXUrabHne5fvcQFlRtB
WLupxEzczQgs6FzxarJLpMTTRIlV8bik0gOfaYvvCVvJR1fkMMGs2nnyfWt6yYWR3niOgBpU2AE2
Q1n5AZCxRYU1yYBl7h4Qb2IOWPE4Ns9m1UTc/Ya0cMobAJBqT1o7y67CTkLi8U0R7FKVVMcymvkK
4rxZUwIZb/BJuRvLgi2dpJZtb9k83wML7tpVZo7RuSAafFa93e1nf2hObD7Hd751by6b0Hc3VObn
YqzFnnoD+dZS87Mmx+offUd9cdrM4s8bJMwwwiY1sMzJdOAS5+K2C4wrI0o0QX4ddgmIqxZeN42v
Q7sWsrfKYQcwn0iXnY7ZrZEk9gu1x2dXi4rwJOVapYmJ/0yn3/uGEEtnvhReGnJFnaD9aFlSok9O
U+BvBwTPyBnKezczmoPbt/aVO2p77AFPgINN03Op1U5P655Qgb+EXUOcnv7frSf9/KYpoccVtTF8
VazrjnNENXEO2fI7RPuWizdKKmN70KwD1daH0E6/91ptDfGovnrMYtUqTrE1ktaJ15Dmgzfb7vOt
J7KE16Z+KdPypTF4aPI87PyScfgcdYa3JeRbb138JGuPunKgvSPYSwavgau+k4blo1gmV+cvEnnU
n8jnZlD+LrAirs7QRvKDsPsGVyhGT579IAACa2HZHBx/BmCob5w+9c8Pbm7ld/OslttoTMx1oqVp
RhuDuLo5eTyKU4NDEe7ehRA9UxPqpI+jr4qzp/XshKDsxcYeuKOIebwb26bdUXAyfesCl4QTbi2y
SbkhfzBWgZWPR9falyIbz8RxU0SgSp27D/188sf4PfkQ1aX0DglbsXg191LcWJAlYC53wrwCdTFX
iBYLq7HKpna7wZ+2igPVf3ImoOerxpntXe7kDblAaO8bO06G3aBl/PxD0YeJH94MZQm6ofs4A5Pe
pTWAc3Ha8KRE40vYk7N6jslAloC37ORHDadlGwRFeBD6bN16xru/eCbty0mWrQg+UMTcYhFbIa+U
a0c6cif0+Rz4SM4oJm6kPreXQZAAo/DMr4NvFTtbH+tzfcDHts5Z39fHfkQXhFQtBYRaFKC+WGyg
tUU7Kg1hGFdaOag/RIRA6wmBn49yU0ZGsp17e7kTWnRg8EB+8KdqQxyE5QHeyIeCFco+KMb+k5d4
NWJahZkni3IkHha/TKrOzFAFw3QdhPyR/Jqk7couQgWda6SBWksg1jJkRGmjeZtqgWTQUskwNhbj
txnQMkvDTtu50SXRkorvI8/gKHxKc8N/wK9xaCtnuQWCD31kEiesE+kIRciejrQEEeQefTpTS2Z/
60PACbSWk2tVh7ia/UThavaWas3H8AE19GOLQvWhBlVE+B7B9tpr7E1rZ5LmhYwxwSXko9hFSJq1
pMTF07yqHskDcAphOK06DWYTbmJnNI9LY73DVfKv0m2qo60VqlL1OGK0ajVVkgMTb/K+1XpWlEoM
HXKOWL843SOB+vl7aUpmGUPMB4rK3XsxNyX7Fy2MkTZP4FB7+V70EzD0iAu5aS/dDUfk6bkqTHfX
yCpe+1poozjaAOLDhSjUMlyUh8FnpzaTw6wFOmMqQsBGdN7DxvD8z9wElwMEPOM7GHFjNWmhjxqJ
/kcWGfUVOG/9oBrfogmixM+MNBgvZbxtrIIK2XoY9sGgAPXLqEk+20vcnduyeFAQcAhgUc/raJ3R
1orjorXHUauQptYjFapss+r6aNm6sd/uSxdqgO1MwYYM04BbOnG/x5riMSJyArYDq8k1E4Z7PsLW
8z3jnBgwL2rpjS/yQyHVWqmvVdPOqf3PMK75bjBW4r7CcmSl+URhOhqr1GrryGHhDZgrx3mtxVpR
Ve0XKmS/jGXscmChhFjrtrZWcL3BR8w1DVSCNLUmDI5LcKTo9gHL35HpwVyFLRjEbW5qcbhCYtmI
dLgf2Zq8GJNHHrMvFd4o5OSM0oRqZTTx+MmM/Yb2EDTnmKQKRUJaiea6iUO7M8+KuvWHZenvWFF3
q6Ywi5tey9gen72nbLbpwwIuwVdCC+ZWdWYgT44hfPQcUtB6Gsl4rBwniteuVsjTye9x23XFVjk9
VblBdM5ABexrX/XUk2UB+A8z3YwSezVfqGTXayU+7uh5s4EBbKcgKs8xwRFuRdH4BeVT7o3B9G+W
QYlv2OCKr62SxtVTeBGd0ntcAvfZnF11zcOIJOPoiGPbGcseEjIVO54Ynik970+eX37J9LogoUd5
1+RpvR+QaQ89zX0cY41YnbBW90C8YvdBxVV9t2BL3rBu8/CkZvdWLO3PxliN55C7MmRnKxperDQ1
Dsip3rmUaXZi67er9YbDZNUB3eMTehC4/6AsthBwyXqgAT1hN5L7vguaWxl0+JCVdHZmE30PAEKB
XU+SPToGUR0oEweFGeOcuO54I/UGBiMGgrIa6o1cimbj+t7yg/KQJ6iG5InyTDyiB3u7zsq7Nc+P
mo3MuQxcVbcysd4iRUQco1tyix3xXIzGfJn8iXiR5T4XekvU6H2RSznuHvJjuEv1NqllF7qna6h9
I5EOriDENV8PrBPFmPW7wldvI1IX6Ck2UjHOtlwTAgoWVUbvQaiaHRNBni0W1MuVoFLxZupuRO1z
tnbrcri6RR2vkwBtOjFF8axx2I8MVZx0G70l8/TCjN4Cdmc6E7EPRSyvBZvfUq/XAr1oG/XKrULq
37OhK2l9suMzTGIuO6x7DzFGeqgsbAXvCDmw43ahkU8YPTZzRiv06I5vyuJaW4vWk/txtJZbCfGL
1QYO1Hppqx27kelL/7EhVHpZGH3sDfMibsDqw7raePUyfavyRL7hf1qbes1YxmG04Yn8wPHZ7DKY
FCAgKwNEuTKDdZnlxoETXu6v6YYo6QV38+qCSRi1I3d9TtslBH3Djd8jOn43kM1GbmlQ6FdeaJJU
yLNb5l7cYGaxG20fQzOnZ9S7yDotenvKTVhukiAwD5FjmD8CEXirTq9Z+w6EVQ2kdIuDnrzE3BP1
YiXriSXHkWzOYD4ipTFvdnY0eavfalINFBfQHCI+Nrogp3Lwabis4sRQm+a3ta/eADeJiVnZwr8K
atu8F5IbEvmiOLtaY2d9m6Qobpdp4oJAFSmkL/q/o2opKusxmKI+i0jyBEn9jc4zFnec7ouwfBIT
Hm33RK8J8OVuCsL6Cbs2r1rdvQPQpt+0YlJeZS3Npw6YOEsMkIkzb+OFaS42cxKz12Cb2q0G6H7f
pS+T95E8H0qX8l75mfrNiIlpzPYgj0BjJtLqQzARowrSUz8EzaWR/Nc1Auxnh2+ek2O25hGNSx4C
q+hjIIWp8GSNn3Oq3tvItC4wkYOjz4GfbzCq91X0/tOSYKBsWs9/dwvJlnQRC/swLxy1DtY+tGhx
q8wvW0hikib2MSH7AMYM4E4y9ge3oMCJq8G8YerDv+AywtijKimtTvOD3xbuVhSefWNWyj21Jgat
FIvaFvjXtPH8uXSImPF4lCTVz1M6uC/KyjG3EwcERqSAdq8aQNlrk1eOpFEA9hUU9ufRi27jDDvp
yizC6XEaw3gzZMQl1l2/mBdyXPY669A2WsIVcPW8wNcwbhncBtyFdUK3IZihLDwmSlblaSqz7CkO
iu5zx+jJmUkN17miNKT0FoXJnRc7KpNsb4Qdpy/PLpOrERF7WRFWIZDeSxPfsmoeo6g0OyRP/tMe
iNoxV2310MVhu4obq/kEsdZ6tWTQUDsUf4pKYZ5dW47UXlamccCRJcnTo2mt+sG8ATIrH4dkYv0V
RbISl35K3Psqab6IBavCSi6gYAGToyYBTkUXTZfYHXlBIv82L+biJUMcew6yMdoHdkhUfCaZyap/
6J6BdYzvg2ERyLLd+EaVsWRFGVe7rAUUQgdZRR+E33nwm5qWWQcirL2JSFV9JV9lZisKzFkE1NN8
14ggTzYV3u6HNg6ZxJoFatyAlQXF2bC2tljCI9TEFP/Okp29ZKC3kdTqtcDNvBKTz4fJNL4WQb08
YwaPWMhTfAk6a+aiYXr5/JJzqYBwj/lgjQ1guTXmGqIUFTj7zh6Kh0rPSc7C56pdwGpZjRmfyO+B
XWLypZkwrA9VFlnrjGMZmLdKD7KW1549h+E6rUyqdnifSfE1o9De+qxsXutuDMpbK8+Usy3A+jkX
VrJM70OtEpJfia8IqWCtWt4NuFzjnRVCAvOJX/IbDsb80lWTnJ6W0QDytzI6DrzdXW8qR9jbvsf4
R/jGaafxhpekDYId4doEvKCyaphc/7t0ica7oOOuSzztI0M0Twh906ef5J9/YHGGtvEnK6hJ1TeL
LBgaTGWoO56GVv/kuJQNLayFY7EQMpS3Ie5FU4w98I6URyMAmxi/2aWzHzL75OTeznDbnZdY20BE
F9kvLMZZJgwGhX0g9wmp/fWTQ1T62ab623PD5Iv3UfiAEH7xjZXW0FRmZI9XKdurkMyK0YGisH/9
QeCGYLDWRjnx6wvgZd3EoXcYr6lNEQR/+VRkVaLefTzMv+2N/9Te6Gp78X8vSV7SqvrO5+RP2GEb
fY+f+l2WDMK/uQF7U2yKIccG1+RD+vsCN9SqpAbMBFQqeRYh95+FSertHRz8HlF6m0/4f21wXedv
HN/YBVsOcPiPjfD/+z/fpv+Mv0PPxvlaV+qX//8f9Hve1SxW1f/9X9jSeJQ/fVIhpHL14Ttk8wRN
+6PW9advkcPutewIuN1w/a41L4KPNN4VeHSHFDe33OauAykOO4zk3mw4lrP1Zed8n6aCjWi5pKCb
+lldpjmC94nSki0v01K47ieLlr58MyrraxzY8XM5wc6jhNp7GVy3u3CV4xg5hkbEdi8jWVYnhqCs
kl9cM1GHHEpIkB3gzVVk2thk4v+6L9rO+crIH803pmoYTaii785DBpf72cmjXpzV0hBj6mn8Bebk
spx+zxbQE6j6sL/A6hBNkTuUnHGzAAbcOK2JE4bd6mfGmhEKcz+UTB9O6i0MFKUguaU3fnFUlFzf
gGrmW0kk+9lK5mbFeZzqqpaGN//IUUG9i7ZuHjlto6+ILtnbU/aO0Q9pRKQ4z80m5bYNenOf2enT
jBx15xPsyg78J85lJhhdanEmPXSVg8rawv7fdpbxZaJ9c8U9qxw1XNlYL1XobJvQDlnWBcgJrGca
b7u4hnqgJdW7DCExV6vrhXXsGaPqm24JyZCXgXhk2oqe2g7f9bGNOkeLBtIrdB2wwjXWRtkrE0Gy
NQiVrHNfCF4DOeDYgp3qh3VBUEPwWvYl93ubtAaouXkeb+gaigkBxjLZitRfHpoqdlOTjFTZHnIL
m0kHSZ5w24gSQtENXLcZacuFm74L2OIfOKiwhF1osV4tyliewoIE1orFjAZnspstPqVt0FfPcSAE
DVs9KJPJAFvDlKn2OphjqmMSewhzVNeDjvxCF1oLsUZQzOZ5CCSlcknJSve6eNG4ncwITx5lGMd0
WB6CJPJpb6HWLs9rAEqQcmOOTjjTEvavq7bvVLAqFuRNZjB73BZLNKxb8Hnsk8VTPnmb0rOpFm4v
3gxWZRmhCqVILc1CNQISjzuV0QkHw67yc/VsGMn95FiC+ATPMF5Qfsph/myZI81EIo120YBbqcjU
sWmTZLv4TXZuSsM8SoAuO1Dz9ik0qm6VK0uB4k6yFVnplB6xAjkmqBHtink5mg1fTdsv7Odwtt8q
NNd1Y2FVy5LOWLssvsHBYCKmz4rae5WOX1sCEqc2ZZBqfNHTBFqCy5bznmQM8E3Z080meX2MZpNq
oEXcGCHxdYuVIcfp797SvIoJCHcY1ZKEqAmlyW1zmKZuMG4AKcbnilyhjv3B9MmWxy5FRqbQQNeW
eiyFWQjc8eyzmwynMr7VqZNHLNn9d1nImY4whxeHL9uhIUWYCzbpNAR1h7ppqLP3oGLDwQnS82JF
+7Dt2QPayxMO3H1tqvAk4vGBhrUj3jnqxsx5G2e8+rGfrIPBfVZNsw9moBG2Ma1CSo52rSy67RAt
9DtG7idAjJAiKESjVrf4XrhmS5h19DdZkfSPqVFdgsay1uzp1arpPC6CaXBxJWe/rMRdCV3Qglln
u/dmT+i0ZCpdC27YfLaksireD39PKR1Vj6TfDkFbfKNtgSSwbYYnn8vlqW8RNabIya6wIbMDmwkK
VEVq3QMvvYc4wvaIPxSQtOtEF9gXOIIOnI+I8SzIlHEjmY0fUrvxT7WEgcsb1u7kJMPPokleTUMN
7I+mH0lXWodYqJ7lSQOEwApIHRpReOpnBFHFZf2+w29A95YfHtFAHiK/vWcGN3dcJmiVhCUmcEj7
3QvXlX5jDyIaiCp22TWze2qyurzbc/iho7Ru+qsXe8mDM03hpZ3Mh6U1Opoiy88qpquXFdMtHrdd
1TQsQTIJb7xS2HMqri4gNaPezHaZkzs8PQqUEze9gknn7tBE6wnvNZisDgRK7u9siNGPYz5epAFU
dLK67FkY2bMXh+mqMIYvaglf/dg+2r1HW6fVy11ZFHj87HGnxvZY+9me3QUNPVnjXrWJeD8G7beK
PqEtNWHY6zr7SUYCVumQ08dFWnO48ZrRvCaW89CH8lyo5JOf2wRfCpogahddXcmtb4RvQDRQpF02
D/paKo3gLlDOnql9eph46yAQYpNccxkN3vIotl4LDn6cAQVfNQPmNF5bSqkwiTasxwO723lDY9+0
PrJfM+D2XUchbZH5XAT7gnKLY1J3h05mJ4BS+b4rzHQdhwaUscGgvy0v1ksUQggbXV0H4vbuN9fg
/dI1JMF1Xkz3HmIaoTTRNpei1w2y40CrYOYlX+UEnWS0e9zE1IJUY/FsuVSIRPUlHCAXk8gMtzau
z2FW1yYV5bcBy0MYzK+ZyAGj8ufxsaPnrAVFSiDeOdJ2ae3cJKJrPPa85ToB0QIijON50y+JdeOl
HoAyg52E6mPnc1T3EmCIBeLeaDuWckHOlWmAxHAXG4PKV3XLkaTjvibTsTpQMZyxzbTkDp2lP9uA
RtapbUssvWZKXa3xnBijvj2PtJ77IYFj70pC2P5kVEV1a8YSN7A7F24MUGzJ+geWlMExVPlymgbn
2Z1M+RVdz4gPUVn1+c4jeqxWDtFdDGAuFp8D91lMJV34jSDHnZWIdN25Y/egvOoOHLqxbnLjvoQd
cptPZFz/P3vntVtHkm7pVxmc+yykzwhgzlxsz01vJfEmQRmmd5E+n36+2FLPEak60lQDczfdQHVV
tcj0Yf5/rW8pR+16LNjHZvE/QBTNH6aEqDgDFZnF5aEAy5tnhlf3oKuD1F3hz1JRUGfOZNCqRe2w
h6cHmAYRE9JSl4tth0869XZLpJZxGWEcfqKZS1z90IpXv/eiTe8BH/ZiJ3+pRDDfByNxnFlPtyHz
6nUhiuApCAiFQFturnHgpQ9lRI7nNJotZUOEHI4zsfF29UfEA0tXzuRkOwLAGJAlpxepFut8+rVW
2efZNII7Kcvhg9MOWwjb8VVuZh4R20zZQQrfBqutcuP1UgNHrk2Vn7fLUh3SHhfE0pbRJUjTQ5eF
EAawr7EnlejAC5RCDLdxf2s0jtByoeaDschD1c3Tw9BS1bRkQpUBP3tyUXbd1yYTXxid8x30VLnp
Vdg/4kYg4MeRII3UvIHil2zD2meCSCQ5nLZDNpmnO4wEK9pXpeMkhDR6zQUWDrAqXTtfFC7ZyWNF
ayGImy/EvVvrfsoT66auB+ueAbKFzdE74JL9boyJFQVXjfnTzZi8WqMkLEg655E/ezuoTcmTOWKp
RwQH/GZluLNzX8SO9bnMPf+zS7+O9FFqMzg9sMhbOQuGnntua+Q+jRKWx8VwDBBjobMyN6VjX8Mc
RkKxHkvVh/R08k3ByoP6cDJE8RrTSTHG51RWgl1WDNG9NFiIWpcstNZFOTzRYKXyNn6tQt9HOBUs
m6KriQyh3nQWkga5WiZPEiiEik65ACA0I5z4t01egYyd3P556BA624suEdWhs/HyKlypsNFRx9UB
poaOeob7QMQUuSid7a5ilQ5H6hNgMpyrNE6dx8SlvQSWS9AsK6pz0O7FOiNRel5oo+L4uyOzwd2b
1me6TCyY0rDaAiB4JFeyWMFZwNbiOht4OPWm9dRKDGl4VP5cbsFDHJaS965QOJDwq1nrysAmn7hY
R3QBjgRodJKks+HXHQhpzOLnUXYXPgv8nSm4xYWsHycAI9vApLvgQacaAQLBTBfFhq1KyuthID2L
MCeum7w6qyr3To6Fu/cj50te9o9VPXvXhk8gHhkEmgUxE6EOmV/V3aZ2MdljHFGXBoyLnVoM+ykf
VUvea1E8Th0tScKJmeoAQqxSC5U+qQHrNPYMcPlpVV3Af3gsAFTuKqSq66QKk6+ZsjbWFCy3S8Jb
ToAdBgjagj4NokfQNBdN3LtXypV06pvylcVvu8KzsAUgRDPBABU9ucP1FLfxbsn74lFhztrkbk/v
x6U74LosduyG0jj0jPwyo7uzmkciVaTpNVe+CD+brYo2Mpv8Pead6baZoUDLluYkmBBWPfT3ryn/
XZWU0a9sGhhF1YzrBQ0WMbjmfEUW85HAJWpqyHfhng6UfmQwXoB1/Vqx38gt45MtlhdQAPvAalEp
dkzDdprtxnw5CwUYzgUUeR6/GqIBmEBJ7AIuf33AinfTJM45GdIMjzFs/n5ITCAqbG8HWzl7pxv2
dqX1Fml6LohyZJ1gHs1MPHpB7KDCWF6moP8S9hFRpRnvT+Xc9t1lUIWP1bB0K7ZT0bNhEGLQu/kZ
0RnLOnKCC6hyH0VNBoaU1T5jclzZkaivwhBQt1GaJK279W06sjoz2hS0fL9QMs+gMF9lIcG80WLc
9H6DcSYj91u34uhPad1bQ7uzjnezEO2Z4g1+nlX8zcFfQsLwiCnJAQSyIhKng1rmFZ/yKi2qLc3R
4oopC8T6VDk5C7xKBSgMVXk7djYOCgOSPaDPDP4GxGOqsMqM11XW1Z/s0YKRNA5oFry6eRx7OrYD
csozVtXZmQzico9Zzd3VRFqfj2bv7xQRJDMQ2FVTyWsp+vSmTAzr1Uva/nyJE/9ImrU6YGzMiJsM
550HCOTBLecKPIuNnshML4nZZIMfmYhJo2FNHmV04UwBWCSU85eW6btb4BjT3qmotZJWW+2GwDV2
nUTFrBLwBFCJ9kPpuJtooqpbNLilE+KJNtQ20E455jXIc4A+OL622CVDeP6dr02Dn0XRy1VhBy9B
lHPHWNRe4hwp0VHPZ54aqEKPw5VVVCwr2jhgLpbPOFuTTSMCBxoU9kGjxhnisq7EBcmvb+W47vl2
IpB1vK7FuHNtcLzdZKORwBEFWzs/Y914hvoHDQPKnx3DlbdlNJ959F65hVG3T+P6ms2UuOtTEDFs
ham4OFP6aaCzwkraNbNLpmpmoZHdwtXcyvOyLcWqRmq+sUOaMn0GpxRC4apCgHse0Fhb+RAFD23m
6iA8OhBZ15rnXdZ0x7ZyXpsFAzqsiZXeW9gLbXhG963WvtykisdYIXiGC2dv0RoQsDQaFoKSpKP2
KoxzkmSwdBagQariMvKDp0pAvWV93awnzalvp2lXWuY+Gql3oBVnL+NBFOozoqkM0aMjTrpvS1Xf
+lVH6wRhmSI3fsFhQ5WBfZbtlOvCQC01dmSphthdEaKtzXhiVPbM8BBjM91CUfVYtJAWwZe67kkr
X5l9xxgJIWTDAvDzEKSfaUedCbe5mboKkUo72xu2kOcM0U91CAXH7actWy3eZGsO1t1APDtfg3m1
WL1NO3WkjLIw6bqw61Rt3YEQPBNEBCwDuUBNY5WSjc5SfmhcFC2rcRxB9OaY5Wv7DrzlzBXhR8j8
kZ2XGNeRYjvYwStZaIb1VAQQ1yTjMcY5QG2//IwiWd6mkcGDFN6+GQln8SdneRSWe0NTo9tMtWVD
SDd3XesRgqwU3k4WysbGJxgCSn6QPoAX+Cas5qpd7PNM+C9I2nZ1/tJZBKV34hUJUM02N5m3pUU8
fFvITZOWOIzrdLM0w2sNfBnXdPYco2XbNq7NJrPG2GYjys8R+q6CJaXxVUKpxg5G95dR6zmt0hsV
M0Cv217507o2XdjBPQnrBmt64mQjEqlp4rY07GbFH2Imr8lBpEleN9uyxaS7iYEgj41/XhOhoEwP
axSt0X7K8n5HFSc6MmV5K0zFAQwia276C5LS1d5tkTet0JoT65034Y1gVCOasbWUR0J23MQCJNLi
dw8G9Lp2V4gWN4UyslEhB4gptfnsERDDNXaf7FLgKI2N12OYvRCXdNQbs3nRB8JFMTgFWXcRWrKl
YrH6f1KvJzLv6oVwlP+pGwFfWFwwzsXd/3r7jxSTf/QJNi/dy5t/2J5kvbf9NzXffQNJxo9+r0Pr
P/l/+3/+D2TxSTf/oRKP+d79LfL2w0sbkxrTVeXPCuEfP/Z/FML+X1TNgQKQrYqqV2t0/0WDt92/
ApAiYGZ/9lFpeTAWOmnyQy7VVk6BjnIX/+d/uJivXM8CKYQG10Vy/I/yVd82i1zK+D4WKnAwPhMR
/YN3rAzyTRpioXr/tsDBtKzLZOpv4d5q88fYtM8/tSj+pm32tmt2OpiUlsQDJqFz2J7uB/xU74+8
yQVB27GzN+b6Uwmb6mHuBvmUkRfur2hp1Z8iM3Bf5JCqw79xaGTQphB0xbipbw+dGJnFsGm5t4um
eJZSae7OjCRsSxPfeoAfycDVmgqaYYthJ/n+Xbxpfvzc7NC//r/QMfrKA3hIFkU3QQeFhsvbw9tO
gp2EjuFtXhh0V4UxACMBoQgaMqn04aZCiD9gYXSI768H5VVxrYCMX7AUbw9a1iXLwFrat55dwmwF
TnRmFz4AJvox8qnuwA+7iY6kJndVtfuYWvpX3BMQQA2f+9AwR+4hjKbTAWEe5MhlWdwXX9jUNUJv
MK3z4YSnJSgBLkzLxhm0e86+9A88l7f69e/3jmgbmqy2hzjXfadfF0CJ+imI7VurN3hXejDJUw6d
YifaCexwMlfnU0YH5PcvzNuAhB9H1TJ8WlQcWL57Yng36PwgFLoleArgzYnZFJTxq5lOze2sUVqe
C43WI36DPEjNXf398X/9MGEMCTyW5IPy3rz/VgYqFLj7J+v2hBlK9AczS9izoGWsP/Ryrb95UciC
4MsSJgdkc/72RQnnoCtNs7du3UROdyzYgYl+J0+HDqBqmkDuCyo9/XWaRbH+jucEDDjdpBk6w39+
4Q4GUfqSAUaC92+tjUtcNmZosm1p+EhctJoVUQTEoqAPgBz0+6P93UcCpEx/l/w38N53y9GHmXCm
BvtWtcBJyzmGB+RGU3Xea8xuoVKiMFnSn4Oc5i0/YT+LQWISnTXtDdbdUp0bGuQbNR5Er8y0xUWX
gSNlkQ5fLcaUxm9N+co8QZjmUcb4one/v4gT4Ond8KK9uC49fw/5x3uLR5pHYS9mad2SfQkYjpqp
Opzem0mHOipVAOAQI+Me1vWLAmkrdMhFE6lm2RxqfN8R2Q9uk5NUuQB2skKz/SoUerTfn+ffjILa
Eixc0+VkUVC8fc+MiZq8H7rWrbdgI1mdbrNVq5oeFADeJld/erP1DPpmCISGxVvNnIsqBcPG+yMW
HeZEM5tbRLTATT0w2C+hnPRfHPwPvelMN8rxYeWCuga9aw4pMX7jOMv7hAV+vXLKufvqVERxnoC9
psFHkDguA6d+J063qGXWgCKQxPKiHQKSRbHgXGDjdc/sgAtaCBT87tP6bycTruD9ZXElPGeHN9d2
A/gXb2/kIjKJ2niObivekrVkNwvdly7DNf2omXhDdryjTlIlQMT2jJxkzYHF9E7G2D5WOb/bXM/0
YoCp2JRACzLBIcMZ3QFtDlHjpRXNDgJzL1zglS8SmRhGtMfaIMUN8X9FcvcYzbG3JvsmbjfoYfky
4HyA8Cj0GjlL84pyVV3e9mUXn4u2SC/sQlRXVLxY84pK4WskpNb4yEYlu7YAbn4xs9ba5KwDAOMC
Caw5vyH+OnvV7BM7HJebpGP+PgKgRfNGox/Og4lkiMQICbTDreCdUAARiKeCwKif+jJPx40TBsE9
beiYGKw0YhNIeCMFtMKLFG1CEMRq7Xe2+AxdHiY1nbYuOyzT0qGao9iLNRjmo0G5xnIp2vfo/Ooh
PJpobu7pRRBtE5B+pm6NEd/VihzS0luDQwbYWcRRXd+AX8qpikn6Cht0ZPIpinum3Yx3BDcgn5yv
kdtNEYPRZmkAbZvgKc5Ok+pbic1mXQogwywBUasPFILvaGLyYzOBd8j+NYNbtCHdatqfeaApLBn+
qdCKLYH4v+zNoD6Co03nSwSHzYUxSYGMd66KGPWbVjLSUMDkmcnuC2xsH6GjHZt7M0nVRjpFdKVs
ZEuKrlXVVPWnEfL3R6hoydHWMkrBOuDzTKgWRNmG7bK0w52tRZeFll9WDq4RjCtIMrU4M8Lh2a0W
Ldk0ex7POiaafY+HlAa21nXyYhVQ+AE1asnnrNWfAhmo25g+nI8kwuBwkokOpaAEcCy/C0ihqZj4
vKGVVsGGDBZBvbGbUSyxfQXTBUE0Q5Q12nQQUNAZFsDgGZdpAY7HkvVHstx9h9PNUrZsczMXYmeY
evGzQDSssow7jT2pOjdRkGBkoJTxgmwZZD3ZNBA8cRfnj5PR8sTmEKJ7Mc+QNgcyCQjEqyA8JjNv
5YoNMZOpW5Iwv0YOU3+SquXJImrloUKQMdamqcRmBCJDVz9qefTZwJBNP/yW7RoG5gUPxUvo4Z+P
EpP1aqdZ9JRmvJcpXOTTiTfYLrF7BuKdgcdlHArcAuGBihs6w3yhqJILh19PqCUnx46jOmdZFz71
RBduMrI2z8nhtB8a09N/SGPbuw6mworhLAypqcsion3V8W8QDXBNQ8LCB2gj/2IJ6KPthMfNUQCt
CYsleRFxY2ylVz3uMbkmpFdo1Kq8kEE13dmez6SeGIyopzGSNZy4CD0mUVqp4FGJ+f2qNSn9WirX
emjbnr89nW3R9xTGnMYlLoJUBJsUmUQrKEf+NgNpqa5P1OwoIvuiX3gig8vKcKYi+DBYCw1BO53v
TpByJ08BtIQ203M31SNQXFaPs829t4qZi+KT5EhZPBB1XPEywNlqvw5qhnoVgQM8M3VQFN4luZV6
eVTnzLaNjJpPaVaw+iUyeb47LRSWrCGSgJRD/8WeWN+fqP9QqeR2skX61aW2yb0IHOesagzzyoz5
pP0qxBiEQrW64DXi2dn6bMuqYeKhDno4ATfNFAnSuqoaufWsjCSBPmc2nzPbUNsQl/qL32qm+lAR
I3HWtIozH/gZAhOqEctiYyhQhacFTq+XKpq09PX75gf2GzctlTALc490zbVrZGTyBDVgrssRmclF
XHj0vwMHrCXTDidYozVaoF+iMd5S8gg/50bMwcvTJ2SFHnilYSL3boO7CHmvGm+FO7ZfUdDwjOpQ
sLjjH2VkMQGXLqnfm0pvVbK4SPYWZDReTAINfJ70FYSo4IzLqc6dARdXMvczLN0452wJ6FIHiJfW
VadfT68kN9yMUmamjGwKtU0HlquuSOf+sh4jIz4UJFSwSiMWNl/1MbmDW8F/LuxQszw7N+OedRZw
z2lIgoc0E02+7XTOw/dAhjwGyR8XI/d0qguu/zQIZDkpiHNCNMuaQqi8oJXmnDWSL6z29eGLEVQv
tF+WY51Vf8KiX51LmCUHlvvNoQkdnmoCaXKTM5FzH0aWoLIkhcOIAbdNc+S/KNHxvZq0XrZ2spAo
gqZBXijVcianN9GdaAien+IbPIs1+tbCOO+wpm2i9kZOCEPPRKUfEPoChiYbT/wBJLd8IroQ7l/H
drRF/NOxKKJjyBrIJsH2fjZT74Weg/VgG4I9gEzZhriTsB5GnIb5yrFnCxNCmEqY8YmsPxEzxofe
WON0c7pCZiLWyK3PCKToZ+1PG15EvsQ2Wg6faMQWNWHohkPClvahb/iXVYCneXvKD1nEyHM6rRhP
0yYCAd4oaB/kLoiYa1+8GqqoLQwIEHaxUX3PTkbfNVRkJMOlo5UvG6VPJ/a5ikznLdR9x/daxpG8
yLNyujOX2SFQEW7Hrm9zSxCwFTEcJRkfl+3iriJjV3nOKuaVp4+oY0PiJPQdXB1Bc5gTj9ARD/iF
dzcp2pz4FVzopgY1wBeX7hjOV531cmKQ5jD1zrKmMrBCSTHmR6wR/DTmGru5t+Dx8YrozB1EEgxl
RLnqsY8wbGMP6p9BXks19Jbc7divxAXvxOkGfB+L9MYd7THjgh5YVQSMZH16d8NoYlpD4qQOU5DM
nxXT0O3p/aQ6Gu5TCgF0Iho3uwx6wSsiTKIfXC8bjjF5o+LHC0Emq3itg4EiaaEGdTC0Iyefa+8l
wiP+cHorEFjo2AKCiUnLASZrNSWpJ56uNmQtCexkc5aokECvMBLNS2Zgl7EpQigvBdma6AsyxoK3
L1FevlakP7T7mYWQ2jDeW1eWyyXwylkPXuxXhCxgDBTrIGyYYQIM+TvyUqabPq3kE31y69oL7OWW
nTovtWlYVIK7kUH7NAK6WZcVmyoMuNldqNNekDtxl5xg5LPRExAIyciZSZQbOgaFKlJDuGsMAW+7
7PXZpn2nQy+ameNG9TzdFTOw+FXNVu1JEmb2FHkR1w1RBhX8SHoG2kdXTWQGsRZa7gdLJNOh64cS
CCLdteoMsrF1pcyBs/CEjrePEvqPG9MCm/7QeT2LkMjIJA16kl/KetLXG8jxBvVncN+LqbgGLfAl
NkKq3WQkHby8wamlGNkJPUpfI6cFDmo3sPF9ttRgYBw+4InpMU1qZqSZ+NI1XudOskKZ/acsJW7E
S2oeaOWNy7Q3+hRbG/nfwM4baCDxgO4dvld66bjgKWnxesUZO/vpUFqE8qzzui4vw8qpwGbkrBd8
nfmEaJk3TLV2J7bThFfx2OjB/5ii3VzWyAhYU/VuxQ4mL/Mzo7I1dhgDOQ3scDTuo9Tm8aii5q8N
0MMFXhuEYSqARM05ozpg9WdcagbWOIVe0lFAx18VkVRDS92grzzyzeiNcpYzyo6O5FOl40oIkKk4
vXAJKDbZFesDNxw50+k0mYQx4/aClzX7VrHGZHaRNZEheg63DMJ+QqGznk4bwwj+SH0k01cTqzvG
tMqfghCg5KQOp4ScRMfSjLUk4ArxwpNldPAVl1lgEMrcM/ZgPNfSt5k/Vcrk1hcRo9XiJ/bDiRh+
GjclVMWbBVaXs52bUjcq9XqzDqW4gCQIUTxE+vFABGf96ZQfVnWMe6rhE+p0bFASGtnRqLydH+mR
GZ0LMxB7u/hge3HyzR18sz33apDorP8wknhZIy+M7ysMWg7kQxOElJXCPUOfYwZnbNhA3LXsb1ai
79W+6lqMhAB2BXsV2M8mbY8HISxKdp4OaqLOwy0JUoNpg2YzO4nCZ2Lxh9l/iKlY08jRJG2PrAJ6
tHo4OC2ZPbN4RUOHbFISp7aLsiIQW2K27R1Hjh9ihZd5ismejt05eaz7KNu0fCGMzux2FuhCdg88
0S9Mez27tXGjQNvSwl1kKbaOcqaDHXnGl752vK/oApdvOavK1yqfWpbbY45e3J9tIAC6a8+iDDCS
GD+CPPMJZwrDHGVMU6bNtqmmBp3rlFxBhRabKPWTD0XdRfc+a/xp3RfkLGStZ+5n4c1X0qlDhGBB
9qVqZn6TVxKaw0q5lBGWZ4MdK3lhIyyczoRThvfC/46I//9eiz90eGwT3dFPhSzdQ/rRG9JNqv/8
j8uXtn35Evftt65rf27y/PjJH00eXwK4Ez7IF4+6JQHAVGX+Bcxz/vJYpHqeTX7uj3bOv0Aw9l+C
drsr+DGTUpWOS/hXp8c6uTQozArHP/Vo/gkI5m0pzONXW6h/Am334GCmfNcNkM4MprI26oNI8te4
iuTeEGigEsGA+dPd+Zs2z98die2f65h0WmzrfQU3L93SXdDQHIS9wCM16+e6rCa6/XH/j2rF36+J
Y1Dec+mvULR/WweLOoMZsc5qUHNZv0aje90OeG79Znn6x5dELd4mmpnDIb18V3AbkPPLSi31AY/s
a5Znr+RGvab8779zGN1xpCUof3lGHemDbexN9QGgKrtL0WC+jH3sAVPyb9w63lXg+IH0AmGdSso/
9+JqE1BCzBUNYaEuJhPzXFhRu1Zl+oeLelv1PT0kMicAruiWpU/19+1DCgYqM4Sh1Id4HLOV3893
5Noy281Pp4SE39/Bt5XRHwdzfJ+2jU0h7n2jzbC8im+zQlvbsI0KWmwgqWClUxnJiymAoSSuclbo
Vrt//ioKH98UZVmiB/z3nxfhND2ZhWV9qJukuu8Vtl9PGhlxe/zd769R37D/qvb/uEZWrIwKtFL5
qt/e0KVPUcdXRX0wekomRV/P29QmtOb3R/mbr1j4Px1FN41+ekEoqruwG3OOQsH83FbT01CM5bHE
vPPv3LqfjvRuZEKYF1dDyZHivJ83kJdfdEeR5IU/fl6/xLpy1pD0iUGRcE1tO9Dv6k8XVYWFJwqQ
yocaLBsAjoGa4Vx3LKHcYt7K0Kw2llQWolzPO7AOrHBbUJml6lQeh4b+/hqw1LQVU9SvVVWOX4I4
KQBXkStJ2xtud5C9ztjrzqLFGi7rAEO4qvWuA55mA2OEPzLHYbE1M9CIPTPGIQBEfUsCmA1ay67O
iDsPn4nOnjcjprNDiHufaLxS7seU9znD8hvRtemNYsWGFQpmwxKy6zB49Flebjs7KO87I3UplC/j
lyZklKcPxbn7FkdJXRa6oiWnPA4w5G+p75ifTy28pOV8Tuu6IuSiM3Y6O/g+NVmvS7XpECT4awRZ
ITyDHss4FfhO7v1Q1TtaddM2bXrY3Ap1TWFydUvBwFWkQcdipbTXYcDgQusB55PPFFDi19l1MalZ
6wHRxBGhMJoxxU7VMjtkdQWOWEF47TrITfsDtCRgrpGVPkeiyp/8EYFZ0zr1p8Yv7A8h164jQlmU
wxzpF85pYFEeB+jL144z863jFWDzhQU3f2pH4Z0Loy1uqT12zyG35jxOm/ra79NXk6A+Mut9+wPM
1depHcP7zl+qM1SCnH1Lu2fObTYvCrU4+zIp8/gG2D7lwYleDyN6tw4HSlZDlDskffgwr1hmlsck
YnG+QpuaXEUOutLUj8pX3BgsqauUm0i5oNzYxohk+vTa54jFoS5SFyO4vtxmCTch7GMAtG48k9pU
Rw9i0SGyEeynZ7noUGD2MpvQi3XRrhuqZY2eyM/3SYmi4tLqh1oiOw6Hj3FYU/KyLWT3axwY7Jl8
s1TIj5LlA/U772Eqs+IVfT2NlixCV9UxciKpgFCWUiCqbK2UKCveH4+aRsK23BsyZKrxUOEYoMSr
ptphTY7KbdWFNOUhy9X4xgnGoc6d+vIJOjifnWsuxppER0jfsxT7zqkHcCCU1eOnrjSiYd+LMn2R
o40ot+Q78mFA0qGUAzn2hNjdjax+Py7QxvdsTTpAGYay0TyxXF80/Cxr2FZGIzAxnDmfF6mx9aSq
nrmGTtPNR699HALEoqD9PVoxOWMo8aJIRnvDOfqmi3LaHTGcWBlPwouj7Lkh8vg4hVG5RaFtr4mJ
e0XrLxFR+c6RE7F2VlTMG2Nu2abHhR8DCiYjuo9yuU8NnlDvMPX1DqNaLCj3U7IL79NBwfePyfP7
VtbSO9CD0YGfetviWv3Hup2HPdllGLpkz4uwjKI8jm5C5FLSrBqjM9etle+lir51PfrYuJ3uaTMc
umr4TDJecizYOyKQr/1zpsLgNu75KFH5TTj48+Fy6ACtR2hmdy5p7iu7DrIPAvLRuSmnXbEE+Zpi
P5EBBcD/bJUlOpuxy3mpT7vjWJvjqH7Ia4dFJdUQvnqUGWAsqOiunDadt4tidKPgOewtPe/WLtdt
F+kLSaBwJLC8vrCfErfOQH2rYmPzkLqhc5x63qiMAfW516lYJs2dzVBy+WTd8xkVopHXXdmPX5Ck
IPiMtKIvdjNxa/mQE1wzf/E8BspTy9tnN4XAfEKGrjBU0Htkc+85vbgNiQm4sMaekey00uqlava5
WfSblEbPurD7auOPHFrR7DwkrcA6YFnjl9grNboTfJ4EpTK48FBVkl87dVftYvgaPISivm4bva6u
yPHNrZqXCfFjn6wKy8UtwN2hBjhuCr+3tqdRd4yTT10GsU/bLVaDfkc8ct0QVnew/dEU7IYZRwuW
mBSjBTyEqzTydi0BJBRulL32sAkS8Mz+dUCN/kiEpbxegrDcTGagKN+3SHp5wrrvS7EjYjZ4GMiB
hQNclsdw6SHf9ow9RsToMWIYLrOh4J7Lqt85qYfTGHrjlRPa5mdp9d35YFCPy6r+WgBDO7S+OaD3
reS+kJFx2ank2kmc4aNB7gN2uri7hHb7ITGd8YPIqGyImdKku1jeYZHJsgXHUVzXhgpv8gxjoCrI
9oNuF2neVJc88j0/qcGEUiMqYxtHRbOmGFxfuzNaSabFaM/g/tnwKpiMAZNepgsqRhLnT03JyKtK
RhyzoEYNqK2uKJ2Mc/19kPXdFis2z2DH3msELzwFa+ZtTFwElveHwvZctS9jubKtuB5XXStTqoB5
zmCWsskDU4kFoFhbkUnU99iYciXqIKEkTA4XTiIwHqu8dhKMSVHTgQcOxwZ3XWE/tgXIrbFximPF
Rr7GXdM3Rydv+01P88nON5Qwq8A/n0d7KhYmn1wx/sG8C+8ae0woAmZpbOxdGvrxkSgxZwAYU8DX
ObpDX5Wr0O/R1MA/Q9vpryDQBOSLpmhHBSLVb7XnE9GeRMHZRKglUTMz7UhWN565bdqJcX0WQTZT
LFZdd1P6oEHRv/QS4ayIoDfXsXIJZ+2toWDsaZ8FaZIdyvD8fkydiYR2y6dMzeLa1dHUM/aZPM02
SW1+dkV/qEnbWBmzgzfeM2J4m3xfDBzDreelxqVFPzvddEGhvUb2vOc7tZ1Vlbbzqs9Fd7AbOOJT
E75ksZdtqc1mW9vE/1gFjfWx6OzpqmeOJoE3UtiNKGcbRGY6yxWfa/QlygOLWBarNVZ5MEmWloZx
lkxIRnZ06RnfkNQy6NOgp18ZgIHBlJh7m5oLPpBKSWVYzN7wB4XXLzGFABiQI2o1pOfYms36djHa
Yhdw+9bMDw0T6AZ303DZRbTtKR+yTuhYWl7Njjaf2gvrikwqwsOV7ZFaW2AFtOSfNmpvhXbsK/T5
UCGw0Oboze77jVpkR3wDnI8qrKfenM9VxpiK5/elzPu7ENjz7vdbjF92htKkKGZzJEShUprvdGet
O3hFNNb5YWhYhKFWJGm2ZDouy5jyP+3bs98fz/plT6MPGHgS6A2t2V9QuCXo68wlvpsBpcGDwihR
bZK2xCeWquKlQ3m2zVrcC8h4x5vTtDNWC/HR+AqhShIdvg4z+n6IZof91DKv//78nL87P8+iOO8D
E6CS9G57Uus8SOH22SEuChdKVVu8Vo72g4y0SE2oUC6L7ZyScrqKUyKb6RmxmQVPdl1bLLQTLoKl
THkUmJ82s83OExIUDZZ87r1z16YjWapUXWQ+cX7d0FBPhZvoAVJjVHYmNq5A5ovwHg2m+0LiFdoG
iOeQGQ0ruAUlxwQczlP+pCOdnk+zIqG5UqzHBSjpH+6FpXexb3a5PCuPFaUGxYJBfi9KjAgyJjGm
zQ6drkx7RBSsuimN1qPjfsTUaxwMlo24n2J75ylyqSPVHX//OH7ZZ0sHdTTaT5NHwmv67vXsZn/0
68RK8OnOyd4zItq47vinYeCXigVHoVBhI3F1icx4/8z7pB9Cv6ySg++yePZR6pNs6XeE1Uj2GX5G
PsQMm+sKWMrw8fcXaP96j1miOLr+Iy3LQUn2dgSarcwdVD7GB7cdo/BA9jDV/TCUz3RevPO2ouF/
LQ16E6U7P2VQnl4xDI1bknm8aI0iPka4HCngdQ2sfppSXc1y0s3UgfW3vEgBxnxtQtLVzoywZeN6
Ovv/X6/+Q71aCO0G+O/RQJtv+cv4or79XKn+/jM/CtXEtwBtojwLK9zyA4Ru/1Wo9v4Cx8Pw9r3e
bDNA/ahTO/Iv6k3wgCSAgADoFVWaH3VqR/zFCI7Akg+VopT9z4DllnTeffm4MBn7mGmQV2hI0bv6
VpYODG4LgghS2+OPXYrDfuPXDhu6aSkIOgpU0e3qZr7JKwrMa410Nc1ArsvQrHcpOS+gUJzF+hgC
HIxXJfuqdSLN8dvUQRcS/PK1CJ1spVmypTAM9n2gww22Jw5yh13J2n4P2jJiryd9lGguKBjqRt59
2o3lxQTT9SpH7UebsTeXQ9BAqViHpK0cGcvIa6tCVjABTSCQ/s2KEUadTw0dG7+gywrGNd2PnJy9
cpRfn2FqD8+I5+7uaPNA+GuTZ9LijY8JPoEHKJQEsjYTaSRQyLd1xPhQi7aGtcgWp5ja20GQsG1k
XCR8vZWFRp6lE1kcEqoc0hO0EGQa780oe62VA97YlBRYSpMMAY+8t53dsP1jrdrdxQigfWcC5RV0
l13FxNHb9m1iiYdw6C+tUJareCrvx2axLqYRAx56iQE5AFBQWxREphcXCD4/hizE1ovVTcdsjp5R
ZiLbIQA7d5zbbGYb7Q1sZKoKPLKx0I8szU0NsppwdDAvLDgGiHPlmlfwYXLCLRYwIAAhUeVD36x8
j18tm8nZB0tgXjuZgYUSAsZ91P5v9s5kO27k3LpPBC80gW6afSaTXVKkSE6wKEpE3wQCXeDp/w2q
yleWfav+O/fIq1xFiZkAAl9zzj5h8USmA9Cnyan2DoPEtYwjZwdMZFphtYdFz7pQzc0dVsz5EBEG
jhtXvtXCar8wJ8J6mkZskZ2m2I6B3dwxITgAAKdmdjt5Cy+ofabD/OIpsLJECyNmUGBlvCj3tyyJ
LUbNXkD8YfBYzI1BE+qMj7yoYwZb5G2u/Zh5kx1G/bthklmEzsF07ju7cG7KVCbET9oJokfwV/OW
+fGDY1hoCdqqxSxYOxeA8+FOBbRzjgNTIuLJWWXpkG4SWCLroaTb2zNrbgh7bCwLoYCmQ7HcYNUB
cK7hh0z9VYy0t98tJO9Hatv0SpSeCQukGzZKd+maFEQ73TDJqYl0C9qoXYyI5tWIXLA71plJABi4
N/3BgGg29gEtcfShcTtfFzYmQPpDkW8LUoYBbBYx4MDM+jmJ/u9B/zcHPasmXsj/+0G/rou6ffv+
L8kUP3/mj4MendASTIHlyHU89nAB740/bWcmDjN2kR72oMWiu2De/txIkmax1KAh66HFGLa8BP48
6bGxhZYd4qH6Y8f5f9lIfjp3finxzMCn/aH4YVfjAKn73XxmlkljRsZsXDGfkBmEWaRQun9uB5hq
7SkzS59JF9DxACCojyctdc9OWJTjNi5DXlIwc2vW9zxoIZZ657oybOI5EARigjUzOERFm6p9n8Mq
jPZQmlxiFVwobwB+Zv7fqD9EcubvejTdgZMtXsV9CSX0THvrIklajYFvIOA18PkOXgDnlAoONWru
jJiOVjKKBvPF/tyH1F4Hsuoh43iEURcI8GH3QTL1SXiLOxhcWCgYiZaBbZRrt69QFBU9HAWoyZp4
WZgztQyanwX0f5+av3lqbIsO6q8em+uUQUDfpr/WR3/80B/PDeREevKQnbK3mM7++dCEVEco2WkK
/P8pjIT5D6oVQp4ATi21z6+FkYeLU2DM4T8wA4fV0//lcUFE8K+FEdt7H4smyQiUcyzyf++XW8tj
0SLj5DS7JlgQxlHe0K0EUmYc054YXsy49G8M160vaaOrm3kElSaD0sTTEfbZ1iJ7lComnzUA7Sm/
TQhYYyNrUDCFfrsHfu+cGK5acOHSRm7cgFwqQipxMCy0fJ/VlZtcDWSrnAFIA5Kr7eLMiCS/81Hs
7kszTPYRvOi9yAtgK3FpRBsibL39nCbtEZajd92rxRvPkttYO72GNFjyxr3yp3p8zUtP5xsUUvHa
SXqmioYN6qGqo0stBSOZ1BinY29+y/O5foPjFFwDto4IVZqCDuIHJooRduMOUaZ3O0ZTAAjbCwvS
Q7AJHJeZ1CFvbeN9rFv54TcEBzhZFZAIVbY/4smOJCrKhnDnpOlZSDjtRSgxnrKcUnilUcARo5HZ
P1DngRRyUcKBh3OYxyLJvYnNCgpwMxvvlUcXumLWaN8YM8kNOpXPmMXkJYPlvc+TYHhMmq7Dk9JN
MGGMuf0mIj9+xsadh+veBRLiMULrYY+F84otyJFlE3NF20zbY4Jiyl/bttW+ST2NPZLU8atne2AA
sLt8wzzTHcI57XYWgWvvMzazc2q2t8Ycu6e87ZpTG80zyR8FIG3XVzt/Csjza70UvItJWgc4ZjvO
n8EUcUDyLfX8aaWhdrZyClxNPmE4denxQacQKoIV9YifXBJ+XTPZM5grvtQVaXN5lyY5kJ/Ggbky
1fW29FzyanETAWZObIe02ZR7D8ag6K97AVF93dcm5Tj64WiXLF7YIoaquB5VlWyK2VmI0eE0flCl
9LA+qPGYsxZqJgE5qe5SD9y1kNo/xy1kYxe7FdP+oLxuWIOebZihep2XIyAxQGiABVxiGZ/Yqtoe
W5VYfAPkK3AsMRjd+wXoGla05WFu5tjfQOkAnBGgW51LN7yPiWJfj4EBbr+ExKSHjdcS6FyEw3vl
O/nRbJHOjRmUxc2geg1cKZmu5hk83y4Lu+oxrLPo2Si92DiBUpTZlgRu6zvgNkUSojn2l2EeoVaQ
0GK9dGERQeGoZI/ptZKvrUapFjaj9ZZD56Lu052+qNEvgoOApoLhAn76IbW1WoWlM4lV1CX05n1k
OU/OYCZXmKXENwgtJvk3gpt27bdzcWjiKqDfMP1roOHaPE5hHn6ZKQSBrUEHZVALXK7YNLGqd0FS
lW9unISPeFO+GUhP6clah/Wip3+4TauRqhD/XW1RQFbPWdwrIuvbDBQC+5L2hQDvlgk6fK0jOTHd
Einfg8Z23fCc2BOQoa69x11E/qBMeZ5ZL6JDDVoB6ryZmbYT4zAPvYLx1aQbPC5wK8ZOnvLaIrrF
pMyenQQOXQuKcF8Tq4JCzoGCYYSNuR8KkV5sFhf7OjXzCVwzIkgmXS2v7zxhCSk4TAd2pVjpCGKh
1uiaYtFfyhvoZaTYhrXTXVBTCr5Yv8y+sg2TFABW54BynSOiL+IJTiCVQvM6+BppsjACdWAtELNw
MrW6Fao13mvXZ5mnrGy4w29kcLjMbBhqIwNwHgox7Iwgka8sKcYfskjGFy0q6xo2Pbs1xn+BXjmu
JpKKiAp5m+gwIsDCbkpWu2N0TNgg22vLbB6IWGywOIUjZL6W6r7I5car/JNodMcqrSrQQatiM4B7
P2Y5xyaueLmfzPJLTGbkXrUjKyqizoBNtWnrEwqoKyiTxClLQj2/z2wcyu1gEadDhidKhprekd0S
KQ7Tsljsr0QhvaqDrIk6+etsxABptI/VwHwOdA6YELKWY3Xdcw+6N7uNJgLC7DDzbi1Y6ztivNqL
VxbmBUd7fMexOO2BpM9HsiGfAItUF0k9eOktFdlEy6O4HVuvenZo31HkE995SnScPwWLbnalRh4r
4s6rO5P19B0KDblTcemuO9yuNyGT/zVQJJh1AFE5tnnbradSpze9HfbQ43yZQSgpy5ssNPl1vdzY
WVjv+GIKPGwsX6CEWa3yzpLkVpryzr52XRLdYal30YMIWu9IMub4hZEexsRkAGfiUPTdsuLuy31n
yPqsTR3dhHXTPIAI9Y84Bs13SIosfnTrkm0k+91Ekfqai2xigSWN+RBbhYbvoWFgAdrdyo5cE9I8
OY/61JqvSNH2j0mawKwaszvmcu3KlbZzG9WQdjlk8+gyzswcvMyGglnH9bqaxbL86uu7ePZTEp/Y
ELb1ZJ3DbG4PHBf+HmuWcZvnwwCByB5hIYdzQoCFSEmEAaezauXU8PeYnT5pMKL3dt6O+1CH4RGb
pHpqo7q8Gwg6PPA8UaAzdqfJbBDkconiARuZ1uYG2jI50r0TyvvRMUv8Z5kTEv/kW9vETc1DJgtx
Cxoouqbrno6KFyNrJjjnVRi8m3UavlvKsWtMG658TvsieSUrLj+q2mj2lZMYAeRJjhpuv4SXNEmU
7hpghL9Lhyy/A105vja+P27yzvJe7DoNbm1d8eQly6E5hoWd4o4eURi0rW3XD5UOn1O7woMxJDhD
2LFLrLOI4slXQigVvqRU9g8ulBV55zHXUQfHD4lFmj0vd4kJsaR5tj3E/dD+rMqUK90l6eLbDPnm
mWvph1bGmwllt97R+fu7BlTBOqkqL1pn8XjPCAlobQerozz0nZE8u8gf0jfCKomL0XZuutt2BEXM
CMVbuDHXljVNA2DaGEVJf+KWtVswnkPlGeqN0K8Xyt7pK5zd6j0bJvspBOL8xZJxc8L5/kUSGLgt
HYmsX6pm7fdsAH3sfF5BQGzUf4g0ecs678Xvx/4bDkAqCNEC1lZu/+J/8v39oLgj62k7itI4c3Hs
ZcvF8jTv5IczuwQodY3MabrAJ6YwA1PWULXu7h13JOATO24iV00LRfILYRTttpzt+T6ZqXdwLI1u
afy3e/r/wt0QzR3QdvzvQ4frt1YXb9X3f+mefv7Qr+PlZX+FVMbEpv4Ld94HSc9010E9h6j5V+AN
42WfDcuiKvRc53OG/M+hg/+pkLYYS/uCYuT/Nl7+fefIjtML2HOayGvJI/99yUkqPau+hKRmP7YA
rUeDqM7xFOvH0poGkr9d92/Ujb9vkfgLMeoTGGHzmwfC+32LVISQr2dPHwCotfcmiYdk4Y1/hwth
ZP8v27Kfq1sbugJDHUj7v83MOxf/n3TJstTEjewRD8j7vKZSTH3RbE1jLFYWb/aNkJmxFI7T4y/3
wH+SfIfLsvqXWQ6XdWmB8eMJNsf/Ll3mZQ7IE5DIoS68YoIeSbIusB/zMAg4M5OdtBhhp8XFRQll
AfhyIsrWBvwjdHpic+vApdKvo0BfKyQxIJ8tiJUBMdFE+OT8twVDZpowmqbFcpl5FaoKpXmXB1p/
yE7nFwfp12YmGA6epzsgOyQYje5DsgiQeo84j96iiS1Q7wy4EUN5xKscTDlZX5CxNzftmONunHAm
dw6E0tFTzRtWRxiyqh70R6L4RMhUB3KpK71X2VSh/0Kt00ZpgJSitqtzgoD0NQE1/oIyhB8cJ1au
Sk6Q5zwvuoQDMel0Bw0er4W5Uq5j5gbWmjhq4ewJGuVjmr6yt6wFQCPVCGZojZNbV87VuRZhW9Ab
oXxBatLe18WAZX7wx25NlR2sFOLx6xm3ySEyy4V9kLanvLflvSq76DT3/rTHWlMcZUfFY8GRfGLA
NjzJbPYeuDr2dlbImUidKxCmTvJd1yPPg29xD5Fx+Zh0Uf3CwoMrI5vKPHgjMe/+2EYnp6twulpG
egCdrT9G9MiPZsuPaFqir16NqTaaEObIuLO+9MWsvv5cpNQsG8sy4BvBTCoygLEjslZSoEH7F0Wz
VbSqNJKDva2lnV8aIsAhFZEvlNl1+y4i/jHOmbetsYLN8cGgnV1Vopfvk+JxRnOu9x5lwLGmSr7R
PkauqYedvlFO1VZbk7zQY6NQPnUzUXC+MPC1WVF+QYqGQ41K/AaIibsuwnj4kZuEfLJKyGF1myaH
hlW/IrQanigb5utQDvxRTqL3TRkFSx0ZnEOcrTcRFdPaMyRo1dgcwGXwWTyRYbINQccOOd771ZBU
ww8rT/Vep7YA9ciViIYQfm6FxI5oU4GoExLkB9a95s0v2HRPbMaRykxGWm3qJIounhnJd9bY83U1
JvrRxji5r2oehqKV+Y5U7+476ktkUAIBURIX884y+G4JwqOqQuK9/bxFC8KYfuiWTz/n2gYjOHMl
BG7bPc2A/mgXLkER+9GpUPnLCDTslCA4uI2DD7MPTeg8NLdkAEWlfUyU+2raWj7bUdQ/xTb35soG
fLX/lOwIwb4t8ocfnYD/CNGbm3KCSDolXCjPN7pdJAWShtIRt2Ci3dse7cGXKlXNC8x0cr06wd3q
5xi57Kh+dZjWXmUQJx6mQDNGNbKAsrEa67c48FW1ToksX4UtweifHy5Ax0FRqIzLpJsKEGGaEbcd
aPW1UUZ+0TWubzLF+H6szopOE+bytTeaRGPUtk+kXzShBSAz770pPHPBHOdki2jQI89EQ7L0NjX2
TPhZ8qbzgKjaCN9CK/deBuTi3Xva9uIltUAVxIfBmStxwHZtVFsq0RGIpRwj9zTGTi8uBJLRY+Ib
frQCjcrKA+O/styp3UjKuR33IYGvnW2zmsNzx9HUVzd9Hdp417PwhG3/rjOVcQ+x82K4/Y0gfowm
3nfv59bl7PQn54YK7QHKy00JsxqwCw8Rcu/kWNr5o3KFte0Leote6G8ppNEtArPveWKTcFQRO09B
RigVcrIKhP2ZuD/iKVxcbSqKu++44iSIIUUgoIx2wIKt0zTn4cbSrb8ufIDfcYOkQcxCX9OiD3pN
9u4JkPwJNSlBD4UkQqsh8vHIdJV4UGMiRcKM3VWZ5kO9Apj/ETcz0WmOW/n7Xgk6d1FddOWnW7s0
wqsMAss1ZvORDGAeWJmBYkwJgdv2JDQeZ82FRAZtHk0QH4fSr/W66ZxgS5KtvW4cAq2Hysr2CQiV
NTN7lmHkOB/62HrAsxruPOGrM1Jap9jafPfvqhlHb+3K0JhJpeEarmJ02Ae7SX22kOMrQ8z23KNZ
XKPI7o/xGFqbrgjhk7gRfbSO1LtTj/0enzDvPF7gwW5IeM0tk5FtVnnygmLIWlldrnbx0CekBeSQ
YsNgeg2Wlero5BPI4Bg5TJHnL6ER1f7amzy9h4ENptT3sB8isUnW/iAc5uuOvKc6C3aiZwh9bDhf
zY3mEMG5mDe2oquCpS8K1VzRK87b2jbtoz01asO2lqdKbeMYkXVVcwfqznJPjddOj/PoZOs2YzgW
qOowFhsYDfXJar35rSHu92jrcv7SEE8Zry0VHqbZDY9lH+m7NHfmzRAhhMzLRqw9uyi53XP2xmOc
bxXQ8HtfCXwQyLfJa25HQlSbANHxUG4xjs6rkTiyDX7i7Nn3UMaRtAG4NsKd3IdkDcgEHFEfl/dQ
mXmXp+Z4TFMA8SsxDJvYiMOnIoitfZFyx0PKSY7BMEVLQKm4rgk9xrA+Gpeym4IbS840uEE7QCJw
yW3ZSq8tf0BWuEmwC59DJgDeWgChIK/QtYHbiCS/btRsHZkZLqiPBDEAIS7OS5/5Wqx8lzhK+AqF
ulqmFqAhrMz80ZRlWWyEX3mkFQLtIA1YhuxVjXbfW4X7Qi5jmhIhlGZn0cXqvXQyz7y2UNOxwrKA
N7kv4WCahzHJgTSbiHCQXSJ82/mJO3yrgU6su2Jc6oJG3iNnKDaeZM6+DXAvXBHqS34cRLjM5/Yr
k2PrDO0ZM1UNDHxSqliNtZseGHdFap1h9L7VNqnZM86nb3aDt2LNIgz0Pqmu9O+USBmhGZuisGYG
xao64w1wOZyb7nuQRmOzjsfFUwH9iRdOwyn8UWGm3TSsxS6QkpZnIKdM8FF2RJAucJl8Gm5k0ri3
M/msF4PZCR8X2fBC5M1x2cLSW5cUeQkRqlPzbSJwrWGAwEUCdgBdqKcq/Fl8yRRPOQRWEC6Zn6FO
dxmMraxyoe9OWttbylDvYSISG44OBWO1tQeRb1CcFUfH96pz0c4kHpsEOpWgOlZdmyHVw5EuCQh1
FS93yB/GBUFJ/5TaTnzL6CnfVK7X3MSk6/BbhJLJlUdZGkm5HMpzqT+6jJokDYE8HUOwvHccg9V3
p/HqYWOw7+GtDYQKbjuW9LLl19GKsJzEMvon4nS5dhZogmptlq3ex6xUrmCa8fn7YdzEMe/ymmLr
pWEKho1oKX9D8i/9biqOtuIjODHQnaCc9EegsYdPMwz7ivwBRMMjSlxgspjAYSsUx9xmTvPXTYT1
n3oIBEk2/RK7NE4geoxf3Fktird6ESscYsOWJ/ZOxVIO+2SqM4C6L5aKZnZQNg5cmFcFkGJTjRVf
dt+5f9fQ/J7w99nPLL8J4Eko6oik/vV36aEVlE0muwOjDUVgyNy7tz60MERuY3TSgoIwIc9r28E1
AfVVl9tMuc5h7urXOKq4MStHnpQz6KtqbCTDTiFuBzYfjyMV9+5vvrh/V0xZYFwREXsBa/vw91+W
PXvuD4ajDkZKJu+gKu9BNzxoJjFJt4T15hteRdxg1sAdDzs72Ji8p05YyOq3DEnRysdOcP3Xv9S/
iQtD2jacsqjGyEkU/9b4xr3kHkljdYA+JaFfhbBVFHL3M9SXYd+2fbLhaJ632nF48QAwlM8Z5sm9
Tw7LSoshZ2smFnG8Nx9Qqdbfm7RgrQ5YZht2EiGP0eKpkx3M6L/+zd3/cCNCpwgYXqCHXkyWv/Xs
LkagptBAJCZQc2vtw74A1BbqXa0x3TVpRbRU4vgfg026SkqQ6g6oyFuQNV/HCvB36lIuGS5xLn1T
1tdDa4uXYWFgpLOTX5lm6bzaIk+mayRd1XBF2lZwjDwr3+A9molm5oEuOUoOcZi6tyYOBKRoJfVq
gcWKAnLeVZOjr0RCNd/Kftxg5u6fbNEbF3h03gOxJPqjBM7vEhglWH05aoFuCI+6d6yLY49T9bis
RWmkg5m+JM6XoB2x3CFtXHISf9bqUzXLe7JeljMlRGkvcgr6sCS7VJip98DiqdkSH9wQhGTBtuol
NajFyCGGPvgUM/hPSLWyi9fWYQd8glPjD2cZjTFfUgr23oD5MW3dOE/IzGucqCDC1cl6p127dmco
UPCir+ynGl7kSslF4eR7cxEf80X9FM3L/xFR0EcbUwUWyqgUvReZPVTcV6EpCMSDxdTwNqamJx4A
in0ULZwgOLz1duIQxp43UcpjRjRZ41Lk006bB7pvjthAqK9mRqtpV5a7VkQ+tWsyNubrqaVxCxLR
fNMZUTttCk4Efx3PUz5yR84dDUVSef1Tlxavfkv/uBjhXwD8OOmm1cRwfn53YT4C0oOnO6x56RiX
NrPhh/DiuM8dzJBRnnDooT4jocEN6jfYQfWb0Ba1oV3YYL2xq+2cLmjv6ESDs5YmCKuRpt8rKvW1
KullpslyjubEadQt4wesLFjPyg4spJiLCZ9ZMfY7C0L+sVUZXQsrTLTHqX9fOm3/ZIKM3wINrt9c
lkB7U9BhNRbd84ZsW94AkJTVVztjoCRl0dx0fkr6ayQ4TbqoQkcZdHRGEVGL/rpmJTsclNlXeDMs
/mVnzvKd4F++lXKGG0x3SGIJwrwq4Z0oG8lUDqdLuJrC5RWaANfauZpQuaK05fOo/QDnFmMW1WDA
i62mPaXaJ7iePcK+5QW6r0zbxVdDaEwg6KO7EfF2sEyA4L82N2XOfMhPaZMDEhQ/Ap7SeZsGM3wU
jyXF5Dff4CDTbptufGtVgpzJEeGdJfhDK2MpnJffegKKZ62CFHsYKq3lGiAKOlrLozot57uZ59Cp
GJa8unJih9OWaBkzc8SQN6RMRpbmNZ1MGvhkEvIeFyZXps4oRT7fxQ3xRpD3Yltf5U7ArUrRy1zH
IeqNwSqfDkb+1Rx7+noamK593ob2xAiG21uahwna+7WImXg4Ssv7z4lP5XD7lKyMYQ8yOZElXTAJ
3SmibxzMBTzHcx957vpzPGDEBl+DkHS2DBz56pdB3pyyisgbBkJjkny0wayvZx63ag2XjGJknJiF
BTHTK7OZ8otsSB9kgZyH9CmUZD2+6TvZDwznqo5LHGNtOk4znwigJurLeOYRrEN8gHZERg6jHcj5
Tb/wsTJuwYrB3bitSp6YeCrdWzv33AcKHpOFqjeor13G2oozLJfPs4PXd4VAV77HGRMXxVrqsTJ4
zCO7hSS0DFeQo3Gs0dFHp89JjRHwPg8oNYB2zSl/Umkz7JHEMmwdi7/+c37z+ZKccma3VQ1v0TCN
H0Axl3LZN7h8RUmxJJWZ737emimjy0YwGqpqK7qwG63OCEPyjcSJcw46RVKyxQyNFHZmav1SK49g
Gm8HQae1js2Ow92w1Xd4jPUrKntMjSbwndHnnK3HhK8wcWX7blbkQo15jp1Q0T5tlUd53mU808v9
zN6OY1hFtSJos2AiGaY+NW/e8uO8RPXVsun9QoClu6YuWd4CNGivAKlKzolefe9lVL8lVhTf+n3D
2Khd7h9omgdaHYaRHh8nWqZfn+VtAGALFk+VX8pxYIokeE16vgVrcXk3WOihT30QJ7c+Rz5zJ4ao
7OTFrR8bLq+KEWSRZOV4LeEYfhlb1MAhac4AEamEBe3w+hPc1pCewXqIC4l4sTjqwqzOWNKqs2tT
xJbLNUD60LwoNeJOx1VOcQ4ybGuLeHjSI2VykzOfM+vC/kIqB4ct59hzrYLmBdJGdGJ+QXTbMhIc
OoaWgd1Ep5jF5CabKD8Vp0nDol/luziYuENq0mH7jman5MFehENMQeuCh0KbQ/1a2AYD6pGZsZNG
tAodhbPj4RG2GS5vedlz83wes5PPt8HkCM9VLeKvdPUaFKddLv2EmphCASW6axnaPLKjnA8GUhFN
0szAl2lyvIEyJSApdHhreUNDj+dwrxlmdJlG5mV2MZWEUApXnjBbMURcjkqIyZhXCYK9nQMbMTzi
SqZeoP8cGfJ+SBiZ8Ey2TKerztfX6JytL470+x9+FU179pbFqqLAc5DW04Q0Rd18A7ZBySHVXBwh
wtHENGlyC5HgdRhcvrXZB9aHbZpHZcj5Djq0TZsK5eUzVUkmVj0xvryUzTqkbgHueTMaJocs7tnh
Cc0xFaQGizD0XHCNIuA6txmpf/7j54Opy4xXjAHK/p00XePS8FIhebOb7iabpAzy59N9PdY80ClV
ZewvsNPB5c4WjT+78APT+bqBjv/sjD7pV3BeejHX3jZRNLCfg2JfNa/CpjMlpxZo3YS0fdPYc79n
kMAnHo8+0OFDH4gX9q7JZl42MR0DlW0PmhiRUd0Hpy4i0PizXP2v0PNvhJ4Il4O/FHoeq+9YE99+
3VT+8TN/6jyJ3mDshWwXF5Sg0/un0jMI/kHpTyNF/7dYUOxf9J7WP3AQ4tr06QzFT57Nn/JoH30o
dk5+DOPKp6j6z2CSu5+7sr8KyBZLKkjz606Nlg4LDA2d69gY0X43oPU2ySNzMoGgduZp48gCd3sW
RYDLgUKgppsHMue10vNa9csbKI9t6+wlbXk9g1mf1hYsuG1kpsN3H3fx7RxN1WtoZlgEYrxlCCzg
iGymOup2ZTVXr6ULxgRbon3bpqPXrQAUONcIcoJ5nWcgmrc4Lbx96gUPfpsXl3bqh1tzeCvrtgWQ
keRPnIPtC1yJgaDooajmfU4p8IaFAVMvtn89rwwntiNUDZUzgRPwGe81nsy/EenGLstpl/NO223E
xFGnx3yS5OFFRdhfQ5HG0dGb0Sw2bmsHYss0AJ9z64QZhoggc/aStw/JrUmUnJ3MHwC50bchX6oK
j2BaUv7eG8WsqKb+xCqsaTqwXV9h9hnfg3KoXjCcs/rCUcNLcczlvW6y+M1OKLdRHjJzRoqDZK1Z
e71trqc0GEl0nuo719F1iFQcj89KU19BF0zzm8App3skJjNJYx0jmvqItKRnpwKmaqjQ5HhCs6VN
/TtLKmb2mVOytiKA0oGLeodovzlGGJ8ewE4qHKpKbcWoHRqMhiquYqNzcjskipme+yuinZByzcqS
p2EmeXDFoBxme+pKoOBmaVfr1tDFk1M2/UOPOQ9epUVSNORf6zn18+i5M5rp2Iwu+UVVaJzHGelU
V6Xeqp41eY1gps9zbPVfi1w3cu2G8KLGqJVXSRAMHyxW5mwV687g7ViIpX6pim0jwypjOhOSgAUw
bbgujKm1YK73+ZvUWbGN1STdfZzCtyBobFSvWYavdT0yCOOklE6MNQv2B9tknV6SJne+2nGZ3oez
y98Goat9oF3Kdr1MxJVlZ7yAk75O8IQyEYVh3Wxs/K2HEVHpJU5KipYym15YXLQnpEXhj7Ed/Xbn
mWWMhMuhGduODFkvyNAwlJG9VhtIGB3vjpzfKl8NQWRUq1DN+btoaoc1ZIL9PDbnkql6Z60ppqsv
XMf8cbRUcudPmbpWlk5OPsB5GMP1KFkNV2JjeJTKG27X+kvgSILd2q5WG0Py7606FtdyED31C5On
GzqyOlWrseQpf57YRrAhLeIwXNSqE7OL5sTU0+R/aia+XUe3NOjMu6g6nMziTJzHRFS3rYyO9Pqx
H9lZwpS5wK139AkZN8nvo3dnBfjzG+HPawoXyPKiDR9YePnDVk198YITVGPqidCA+kh1FbnBNnqx
UrkPfe/2VCip1ZElqxFPVySNkT49nTta6z06A3fFkm1JNtcxYKUh3xLjwq3I83KJ1ITLPR2G4nGK
Rqc8e31nZnd+SukQbkQz9+aDmNVYUsczZ3WxMUnjMPbtk0AXeW/kAcs8SqLxiBj2BDrYu2YM3O7L
Lrc3xVSgqepLfS/Z/B5pWuUKcUF8ZMVX3MPYaC/FmE1rkWfpLsJPsvUbLiQ8tlUZMTC3ZHKzAJ37
skMX3aXnITs1Y8qf5Bhy38OY3Yap/eJFCcaoDBVnBopckpppBaSgOR52kUkq8ZSwtzhGqq3XFl/L
DpSxuk1N8RL2TbwZZ6hSLNiNa+JzIwzYnNa6N79WVtesopjIrlx/b9Vw1c18h1FnXmWp3em1Febm
zlTJ4+SwDSyy+inwtX8sg+bd5Yptp9S+mLoNN1FXPMVOe+uNWXbXyepZRAil6SfB/pq70qwfmJkT
Wj+BLRpN+mxzJC2SaF/wK/3UBBBKrXytvYrJwqAkadiJdy1TS51aR12RbUoechiQRekMYmMpzToI
d7O58bEeniAOi5SP18wvCTuDa+TbYueN5JFzG115XG0MBC36TaOvLjgZ6r3hVkAtNLj7TtfzDTJX
ErDBObDRSt3mXmodXpy5xdYYp11xnxvTeOuF7Xe/TsxTnsbW1VyGcgvsJAA1406EM8AxRk4AdST+
4pukfcJFhDcxuayOU1VuYi/WNwUD7pVmavU453FPnq9QN8ws793WkDwSRDm0w6BuypZAwrYsyoeh
iKJ7147ESvR4Ot3aJG6aywQ5DOWg7SRAbaK3RJny3m788c6ewukqbZVz8dKweuhHIis6xzspAhTX
yBE4+Q3zq6sQt8HEQCSaTQh8PX5TO/ffx2lQl8AIUTdTHO8cPYc7AnKLD09Fi7tjq/q5P48dIHlM
rErccMYY56xLfRIsklJeXDDlG+lX+ZWDRWPtRnazDyeVvIui4NkKa6XWpEZcuAkLZKhmcZe5kbvy
QH9siQEn1M8y73ycEJuOLulYzo5zV2B02Ri9JuNxtF7doUUYbBn5A0kK8GE73/7a1QKdLYQO8gsp
C5haER7EBMWvdmgcENnjVtszuGHbNHjhyVWjPlQwkI9exytyymfvaBSWZ/0c6/63Tv6bOtkRmEB+
mYD/G9/0sXtLfi2S//iBf5oIF6cgoBJysAAyoDD7Z5VsWeIf2LPt0LUwlAdAOP/HRPj/2Duz5biN
LNp+ERyZmHEfUXMVZ1EUqRcEBxEzkJiHr78LJftaorul8H3uiA63HBaJKgA5nbP32jgPWdjl2Sn1
9/YY/DJF9SXZ6bv8719sj8/cyB92x7jXPcNY8sBsw0Scunglf+wWkUqCynlCL+YVszanK3dQE+c8
hEkP0DMIEBh5lVZg0tUJNUPzJidOyiPENtT3kJJJJChPuirHm6TrvE0eS2ju02TdYANCkeaD+42x
FfoGADiqVnluw4G+05xpLKoVjWWUjJ+jYPTgMHbQgKieDouzUGSBdr0ULiD81EndELKDLcJ9R+48
xd1+sLFu9YeQDTmbtsAh8fWIP7LqP6mem/xJK0pH3yiSzM1NmAz1fOJemsa1i69phc6mpxaohO0v
ZXrYTOY84UzITdIcMCVeBXke7SpY5wbCKTu4L3I9uqclZez5UiVumk57GaI8vncBkJNOz6H4diyt
q5Z8hgMn4JCE16B79iS59HWTA42KUzwEtkg4fSOCI4vXG2dHL44JNQQLPtCcDpSXB3IQqhNyuryQ
K2xV4xXUtF47jEM5wDhOtXD6pNG8n8UaM3oSbgNToZfc6fEYQZxHNddWeynCQMYUKdOe4DOkxZie
LtXYlAVPIbd0Pe+/82D+NyP8bkaw7WU0/XeR75e4oQTfxD9HWn7/qb/OzvYf52A8pgSL/uKPKl9P
R7ArbUIE8R4DFVkgrH95ix3O1QZNQcl/gXZi8DH+nB1MHW2wAaIYAavO4fvfmSWXwf/35IClGU6T
ZRChCaZGh8L3YXLQpYjSjmyA7/EaNeLeG0sy6nEaMCm0NWEvP9ygP0/vv0p4XC6IXxTq85I0Zku+
2I+zUcq3VrhxrJNh6e5a9lSJ5yWvz87AJ4ZT87toMwoQ//iCgGa5XzROKYR8EPwuJxUOjo55Ygtk
PydLmMo5nqOxKO79+qst3c4P95JHTQ3Esmzk1x8l03U0RGGXSvOEkc56jp2k3lvtIgRF3wZHfiaF
yEkTCO1sMe9+fen/8C15kwhNZfWROD0+PMahSvtJaLV5avSEap6rAGewV4R+wa4//41S+0Pb9/zS
8AZKKjf0Cm33vOL8oD8YscjkDjTP01BSBfEdRQaDPySC+I++daAQFQSPRcecuAJ3NdXEAj2askRS
OmbgIoWODvbffn0bqbqNjhD1O3igD33oREbYzzgcnNzB5Ot6CxpVLDrK/89rsWITNcsrzIvz4YUK
E0NkrH/myWgGEpRAL9GLykdCvAkS+fXXWsbCzy+UTVKha1qWI6xFGf/zWIlbtQD3OQpgiXpvdGBU
RLb82xxJ6mZI0nWYAfw/s9SHAYnsxXRoUpinOYXdmsB9gQhgg4uUpI38Lt/1A61qeXVsYaD/BOME
PE1+pFUBlJH9rEnjBEuDOJFzZKQMNMi/WY1u1a1SMmDsiUG6RGxOUQsiuKfc9usb+x/eYEwXTHt4
xPnDPyqGgS5R3NKgOWGK1o9GWkgM4EsYhNIa3lCiXuB0pnpt+1SOgKGeB6+1ZL4yg9T7X3+afw5e
PoNpeJAdeNIURn9+zCkKxzFPFYN3gbayM4Srh/XrZOLj2fz7S9m2gUeAfaXxj2RhDqyECjmVcYrx
Ct95XsiQ1bJl/+faPP1fX+zntYXp2zRxjwCQZmU5Gzt+/l4qasusqhQ+XlKRqGkCPn4qjIxcEMqA
N30xMTv8+oof1UhcEkEU/hHA4ssD/og1V+ls6hgivaMI6EaabkG0SVM37JIGbbyLEV3nm3P+SeQm
5CjBxNnkNP9PjlbQBXZju9rjR6/35xmkPYdbTTP5UX4QabNcx0sQ1a8/Mme2n0Y5GdegpaipW4Ds
DYMjyIfHzy4woQVsmMcGsupWzDQHy9jWtqFs0s4vRT6RogrLribxvkzUZG8kv+y2Jk4q31AjVNR+
0eLFQG+QFM9G3r6NGAsxbp9zfHRSG6M1WRgUCSyJOt6XIcln55iXzK7qPQKO9q3m9HBwcJDU62YR
WQw68rd2yel0Q9M41gk38OzvvwnjjPQ0nCDeQztHGoxs9MeS9qzFr26cCLFD7kU2kfJ1DHYg7GJO
sVlRcQ2XO2030XRTVYiK0JWa4PBgScmrJioXVoApSe8F+DnvCCzwbNpwRnmizLjAQmtZRMc0i9o3
cjOrJ0cVujrmMp7uKCiNN1AQNNKtFPX6r3ICmkpsvWEvRjl3CB4q+m5PRZvaz2ms87abiW49T5gO
3xrQs6zQtN6ecxqqr2oOdDiLTnVX222+Q3larZw4NAE4NV5v4XC0WGHOeWuoHBiki4vBDFJADaM5
3mUEpD5Mpk6/dMm8O4flnjN5cJNwf1DLOndNE84Pek+YnvJMntP5KCbx/LyleUgd3QYajssEU/rK
pUb1gFGEvwWU2TigceS35EvQ0Nxy38xO4KY/r3IFK/VWNQvpEFFnjSrKRLOKlXxxdJgRhXQ/L3Cd
HqNlY3JOJQ6XuEGR6OT9kB8KMVFoBKWdI+GqGGv1OuWM+uzYCwF7ShIox33p4nLuBZ6h4zk8R+sx
Ou7Q1BKKq486HwaxW5pvaqRJb3YZMf5KEVLazGdXXkUaUZ8Qt3JCqIgwpLmJvJf1pk2Jg0GTa/Au
94TcPDSIrJud2yJkHTVaukq6rEVt6xBnPWWsyxTeOYOjQQ8x8zjZjFY6JrS2LyvrGXg6rYKmqL1s
bU2y/hQas76f54FOgB7a5tei7wvg4PF0mdGUX1fNCBCVFCTpbiUoiGOclRw9s4nLNIifOCPOZYd+
CsZWls0LHwzMTYosOZmuXCx0JwTMpeJA5nmr2GpwRxP0uJqKebpPsfltqLgrdUzpQLMzssGQzaIp
bluapYUPXicnIqlu313aqAdOe90VhS1KwNOYcJbtUmam1bzk2A2CWpDfEnH9aGdp3Wwba7JfOWdK
+u0FzieiCcMt5jpnANqA/19CFtz1ZVdeeUkvByQbTfQ1XDJHnbJVlwtDe0fyYnCSU+tUO7cZ7CdF
pth2KtT8lYN6ecRWE05k3JvzVyRu6YboFrposucxuoHVU7Yeiq8JuuCWFjUht6mond2yGUUrSXkX
bkada5uKPaDfs3nZwvZpl4mJ3MOSOntHyBne1kodkjpqtpPVTd+CsBw2kRZrt5NX5o84GUzAnFTp
VRGnpPFRe3bS+tmhnLdyifZbB+ivV11PHEGuSn6Rq5G4R0QrksugLP0U+pZEYEHiZrtKqyX6xa/J
xQgpczbkWl6w03X3uiEna13E/eCbQcCFzMwL1uDo0bmXqiGIsKFVXU4axomy+6xSu1LUTpstqtGJ
bDzxmjlN+ehlMY0wT47bRguMNQZesfOCNr9lVQKVNDO9X9hmNWCwEzxRh9zlCxKXcN63HUS1puWl
1mx2ZM/noERNTxgSzRJmuSkVxcWTPS7BWbqBY2TFbNu+hbVgQipnT95PYgHmibb3HmqnI2Xb7UaQ
xWkMkw4RTyVIzSV8dEZMp5VPgTTHm3PG15nt3jYe67HbWQFkEZ0EhLLOlt8mR9XsUhKHSWozSjZm
SykIUSKTdkOQ59ruZwkp22Todyht9uaIB39/jttUitd2VTp9ieqCdDLs4lXIfi6izyINwN+M+ahR
+VcL8rJ6n1Rv+g3I+QBOWtsgqDaHb6RwV+HKSjXrC5w871BHXrPH44hcBydH3PkZ2t2Xpm8R6FrG
xjLjMFwFE9PHYzZrnfYpnmlF7bGbu1c9+WArO4vTDREr1T7R7Hk7IbL/PMM4cGD7mMPn3qrzO7Sz
73o2P466Ka/TFsAO8yqSHt2r8fd0Sn8LYWe9oawfPoUdkp8bRjzSV5LoPN8MHdqGaK9TfElZ4xxR
GjXlehwyhZjcZh5fpR3c/X1LC+pkVuV0WTUtle95jEEE4JOSvs1TSMh0J1dTK/qx2MAwyFBV1iZy
/jm7rqTZ3eUxgO0aieErCSTZpmxn46X0bJohtpqpMQc6vcnGNeJVipffHzo4R/RnM6YLL7DWSe6a
RxpdL6QdDJ+GNkyBqHTiso5D62s62Gm4qrPIY61E/uaT2hdeecSEQUOwjKOGDsmG1RA2z3o8qFPu
0KgpYqs7YX/VSJpuUbnsJFPeVmMz269HzLgAM/CzjdsoK4x7O1UKbpExf0L+ElxA1plv20iUvgfC
4qnLYDpsRNOY8XGMxxEzREmquO8Gg5te2aMYqNATRbVfOiIXiTOXnymD6d5KS7u8QJjriJR6I93n
gRX+XfZVc9kpBY6YhfBUJA3WEeVFOBYQnRmHiMltB3RBxivFzkJDnOv0t6HeD4ZfJIGleC+z+ikd
W0BKU2Zd0EBiGjXERH5GpXoUXHped8EqK0r9EiEQSpnJq6QLl8UxmRDl8I1YiC7YehoaL1xdRGGY
lb45q7abzonvmlxWnztcFg9uNpmbHiPYaiYzw08dmzaKIOgPrmfirA0FanpFxmH0RiQ561C7ECED
rY9xw3CrbvqZc0qBjhiJcBnE17pADyXqQbu04hb9QIzMfOtqBtCSQhXWtmocC1WlHgP07Hh334lm
G78o12hfBytw3tA42PFWKLtrVvTe6f4nCCtrP3BJKpzbuUKyGwEU2sODecdbHd40CQo9n/5RezSG
MSrJ0y0qJJyoS314MvUqZXW+1ugvbnRhBzhbQ/bs4TyNIxnqJSJZqzNb95R2Akyd6RDJAQWdIHHU
j9ck4TloFAGWXxdelrV+oY/abaQZPLWMApJJEXeATv8wRtVIB+q8X/9fLfQ3tVCsHVRV/nspdFUW
xbfXNn7t2h97JN9/7C/iAZIgKqAS64rBAeFsXPmTs+gYcA0ocwh0RCYHtIW1+1ctlBYJUk8i45Ae
UeD6MflN/IGAiLoXkXHUFFxP/htwnHmu0P1dcOEijmF4mPS+p8xRHvj5xGrpE+fKMu73ZRHKtR7F
2SaCNLKywPBMdvriUi3xVQkXtujA46cJcsJxnNKjK1O1Eq177/YuQZFZm17SZr7oEcj7jmZf6VVt
INlDHeEkvUcL2xx9tyvmrWnkYg09hLBcIjuAl+DzR/3hreDr3SrIiWuBIsJPTDfdyMoZsftzzbPM
NpEF1xSVWCdp89hn3j1iwBLXeamvYIm92JoS6yznr6cSVWjZO/VB9fWjBMOymq3e8JPZ0jZ54Dxo
g7hLDPnS11zettRjVsbESzDZEbIQrxxbv5UR9hdsEo1vK9yWoq4ebblYtGsH7IvG1yOVXV+NObDa
XnMOde0egOq2m6Dh1hDEiSEoN/w5Sd912tK+bXMrS7du1qLil2Y9t8BMw898BW6DcA85cp51UPO3
esFnYIdBtEWgN4uopNzTlyF5KQsXU57Nf03N28El+WD5ycTEGBMD8vPBl5FBMnELVGYA823lfBuW
kJ2mrN9g2+SZhLN1skxAvsVgoDqv+ECYyLCYzOHntFmCTxwOIV5ZvE9FVe4rY4kSCSDwgVvBAeKR
moAlQ3IfvHvgE+3mDNZtRMLBeJHkM41BrRW9juXTa+6hfqXId4HTKA1/uWJDuB9c7p7RcNHBcg6u
1O7PLwmTJXB6s2rWyuE9kJNxm/cuaULCux9c5OU0jkkWFtZtz8qHu58wVPhO4EETAGBlmI9Hx8OI
1avlLWr5u4ATr+IG/0xVLvCEhfBsB/bIbeLF6jJEW+Cbr3if3yGcGT5lMxdvafwCEZ1nP/NvLIWj
30utWA+tS0+8L/mZnLvEIosxEIXIpajo5dVN/Xh+3jnCd7/PeK2Q97LwRbwyjockoASC4He2mx0J
lHpnkPNWc6ry3Yi303V4VcplLBALMn3OIv7VdpMXIhl4/iOa2V6l8Ke4XaBQ7qnRAQ+tGCcOASBH
tA3zJc4QtcId+IiKGjEaNS8GHC+Ty2g83wyOOAjCNf6qSvMXjInwBIRTHTO9sTYc6BXR5A0OtsKT
d3mTYHBWAxbiRW9ttPDbAVEtwuBSrM/2QjbXfIYwak5uAyIhpOJ6YVRBvDq7ClKHQTkNxkU8EJBC
cY+3rOA/jkORXqKdFmvkVmKBbmcblBjZRjBORNbHt31kIfBdXpAEE+XZcDKaWD+70h39kuRmnzie
ZkG9pccwEgWEMiPd9KCS1n3qwsJanq2W8/W1APcHFUamEF6BAunZyhi4N+e3/IwJKCk47ojVSjdT
nmHfNlBFDBqc6PMLsLzhDPFbPCjgoyemMa9nfJvAhfbnx9x27JbamtdoTPV20ycyeFYL+tCK+Kqz
xrWAZmr7gDQW4JDxSzwtmnyZvuOSJg/LYPSwx4PFRgFksRQFR1GjWIfGOV5Zo7UjDelFA90MNxzC
eJAiLsscRgT9Um1/dr2WsyUvJifyto7NS1bkCLy1xuPqxeLeS/LnomFykHPhx6PJDjLDV4HpF0IJ
FA+zMewVcTMGp1bcHJXe1AfwJphpC9KRxzgXe1FyyNCykEkxlExuA4+OLFpvF3T6bYTcdTdLJOq4
5JfuNFgLCw8ugWd8hKGTjCJHlXsOwfyDA+n3uUn3FvDJMmj7GOMqppJ7fnd0w0lErGvLvNWnBEZH
AJnLastl2QFhN4ES2zY2KKy0zMR6oW9dsLcl3oVoPQrN3BpO8avzvUY4m65TdFo3GKO9rVnY6Ybi
EIo612IKRPDuO5kW3OgSgZddUspxg+qdGpjv5OBQz/tfJIjj0dSyGHND/eoKzdrgFQlXZeU85KVZ
blItutGG7orSAsrDwQ2PUzyiU9UwVHD87iax0dMB/Vcxana3njNobVaW9z5HcdMmxHNJnZnnOnnR
k3JcS5WA8EC/e4/1LcMQCU39cgqhacQDoW9svZF/IQHjILRJREXQRxm3N1Fo2uh+bQjbzpa67xLV
k7ZiQ7o4AT4kwxHmY1eVRvGqe9basnyjqPdqxoJopNAY03e3MoAQMUsAX10x/XNKK+py6+Xp6Ckf
uRM1p4TknDzhzLUOWYrWunSDS48AFG2bGcXQXKWcNZ1D4Zkgx1q0WtrjRP1wFXVhn12AYzFav+Zs
ba9wcFTxldXb+rQhOS3AA92xfYgc+/6HrdjN9x3Mj03XnzuT532NSdWfsji4KayaHxpJmafps1nW
7NDjacL9Fb1zOMV/Vrj3XU1whsUGf2XGvOm/vu7H0jb7KZTf0hXIsqE7iQ/7KY9CKAck1e3lcJ7s
GINGnL4VmA39Uf02tvJDIf18NcemmUVODnkqH65GfU/DKlJ0+2ziBVl2Al4aaETAN+L79/rfIeA3
hwCdnj3vzn8/BVyyKVv+p1T84yngz5/7SxLh/oFEhxwnnRhY5IQ2v/LPY4An/wA1RmNQp0n25/7f
4I9/KaPEH5wNqMd5sLN04Oruv9nvfxwVKBF0D9+Wg/wKxrrzYVR07Nejto/CA9ER7FsWEoCRDNSZ
Kf3R8xNhVL+OXV+9Kgm+6Yfb8h9GpO1+HBuw3WDEkwVkc+YAVv3h6jHMditVTXrIE9hISPznLTY2
vVvNOVspi1LIvq0sWF+6bJlGJZOF6fcLPYvZdvoMTRA0V8mCDA0stReVopxwWaaBjgMqxmsEM51W
m0prakFNEnfzKYidqdsUjaLuIFuATA5O3iWhE3FnZI7p1RmyBOIBensVY7GuWdEaDh+GfVdpYGJr
KtKswgM5sIsz88xyApUSHEtr5L7ZBSspHxN/dADZ+NlAcbaFMMduA6f4YeomTAh2ZNJsY4yqsEOd
TrKednTHCNXrpPGU3vrQCO3t4Dma/iD6IIw3eReOLOZppFlPkfCIxltccG10KlsDPQna70oNNxWV
88h3QncIr2ZPi9xtmU4yvBtCYW8BPuSV6cdhTpSZTrWQVTsShnUA28nfDLF6Oo9jnapiZ1eLbAzx
APrOCWj3KpCNE67l4M6GS9alLemA0bNhs2j7VRG+5PMUXoOzLTclLkfcIs6ENl+GlfuIHLXVNoUc
xg0ABgg89rxu+bflQID9Kqn6K8dNBIJxERp7DBiSHEaWlAFm/mPNOcX1sl3ONgBsicuqzMmo7t1k
1dO4O9X5sK3MSt1UEXJuq1VURdouLlcazNvb3p7Gz/Ca00cRTfQqsiKiNdPBNIlT65tWjMmdi7Hc
x8VWrbEzeNuIMt+hZfV4gkBC3yyKCP1y6uKAIrc9Aubfo9DL7iKy6m77kYYDJ9vQWRHrBxBsQKtb
FpCRp3vMoX3ta57XvFiLozPHpb0eEc4f0tAGhDu0+ckRWQO4DD1eNMfZ57LnnFZpMtqFY+m92uwH
UeoGdXLTa3b1HPbSgiilJnHlTS7ulTaR2hEfND81iULcIh3AJgLv6cHQs/tEU+jOqeGGK/ABrzEd
4QfbZVCZg2FuoZaYhzBdNh7ViK3bGL4FQeM+z4SgbjyFUpnabdg+13OzSeYYsms0mH6qhlNvRtY1
h4Jsa/S0WVEyBuW+Zrt8KD1pXwITkk+j3sG/ga9LVOjQHrwkxddqTkDLzbK5b7oyvDYGq9ynRm6c
gJCNV5mbLftnZd0So4egpFfJY1VEyRNPNNuNY2ecuhIIdVcUIARmM3tVhFMGqwD1+DGujfmG/JH+
Im8BfuT0UntKY65zNyVtTo6OhrWGBlp8SSfRwBYibM4wDIl9NtYAhZUbx0do7MZ153bNRU/6zZex
QXnp46gRnIz6+LKN0uq+S7vhUxzbCrEE8a4awL4nSOEJuZN2e2otDmubsXOSo5iBhm9lHuU3lvCC
gyJ4d9fOIlyLxHO3ddVb74ihqx198enLmOCMDb2lB6RyTPzBJb5GEARdJJZO67iRRXjQPXWaLDEt
m1lfpWb31hUDwUBpke1FSMmwsBR51LKBlhEXzlaPxAjf0K5eYHt0J1EN8Tajcr2yC3O4TUoLDlHq
Tns2RMZtMA3TY0ey76sVyP6WGxJcj6XqvszOJJfw3XzNOGnXZT4mwJrAZiszsYlt7sr0s4rrbMdj
Z7RoQ7X1nFS9AappdzNsGEpDgTA2ow1nvMrr9gZGIOFzfT4taD4Eqm5j6e+zHhE+QBG041Um6dGD
PIIvvL8k/vpG9a13pYObf+Qonu1my6u2IC1odFNYF5d2nIpLr029K63M9dtp7Kl5YDLwLspyibzN
xuus6hRdFgbqsYPjvp4x5OerYGjHQ5zK8KhKiA+hy/aPm1FcdhXdOcdgqoFGftIoIx31ypSf7Alh
KQUuLVg1lT29Rskw1nxpl4Zk1yTJvpma6iVFDj9ycj2ylniboCr1rwl230PWWNmugrZ/L+ukuQud
1rnCpcG5FMMzxgm2wZ+bovOuRsuZL/tGac+q7AQrmhzuspimkc/ocS6KYZjeYDwkdFDCiiTgwhqO
Wpj3u4CW5FXf1sYR8EOxBWNQPQwk3NKXIUgBSMq8M9DQ3rKyqSfb68oXty2c9ylOaZHbbUMhxwvf
hnRMFrexBxdebQcyR0/T2FhrR4p2pZV8zpWHPogSDUcwXzRZ/6yITcUNpw8G3qkZkXIWmdVD0BXt
puSod3CtPA5Wls1xvjAlcn+vr764OHHsjUmJ5sUIQ3dXUKe+7GTgnnoUK/A2ZlIM6El6XYp7HHsz
60lmttlVi+DmOnHz5jKlZbvp3KY8VqVGemxL4z4xU2oFmdP7Gt65L+jKyFNXXs9BBmoj5Etj6G6B
1LsXs+ZN34TRZR2N4pjlmtT18JQNrXYfRZb9RMIhU0+qlaYPADCBAjm0CrL8HAQbkBUl1vTCuIpF
UDAtYTZOaVnQQQ8sd+e05fmdGGLSVWl2rHIJY5syovucilltRWw8k+ZZXmpg1D+5ITY0KUYDd4ZH
4T6cdFTns1jBBrpcHuCxygy5m1t8KlMRLwRM/ZKY3uQQ6pxb6qgob8pQNz47bttvRkfLtlVVWjvN
TgqFjY6QGUjq6yyNOeyWhjpMtN5vAeuZr9js6R3gI5rX3dB7n6SVEGpGy3orolreEzAfmatcU+ZN
GlQYrvV+9G6zEI4e2NUSM5Bx4Qb1sFjmTHFZCXnZAtI6UnFzNzLWqm9RhxXJ16bB2wdt5ewdjSJS
kzV0i4OpuVFzpm4Wp+AeUJa+H0H0UZVFHzkMVFR2AQyBL+wFdDK+vGTyFwLdu5tr3VOOS2tLferR
qjJnAxX/1tCBk/D9BKYo9inNXmfKC/2kTci+RUN4sAu9oWJh2nXAol3Nr7Gqc4IIQIsd9W5ck/Yw
nKbUxVEfms02T1LrJmBvihyCxRqiu5lsqVI6cN6rmf3HyCR8ZUAuWjdV/VAI8Jb90JuUG2Zh7ljv
ii0OPXhmiBW2WiydPb1e99qRDvJiqrlPbNDsZgWBkg3IFOw7lQSrEAYGYlIJWfNgZSF2wVLLbnCi
99iLzBGjnMMxfVP0zUSxIR3u7Hrpas7Y22wxFdctZnnGiWHXvBye88bGN9qQsqhjr2VaccmMwTXD
TpVeuC6GT73Iws+C6slnZEgw/sJmNintVtW1SlsPOaTNbiW0goNwsMn5IeJ+gTmdFcx3++BAHmU9
r8fQSI5J63kVPj1JOzoOSZjIKz1svhl54mB29NN2kq7yIXJdBD2VmBEizRHLUXULU9y4NM16uvKq
Wq49HFqrNqzGY1QM84YiUPg42+4pMe370IZi1OnxFU1Wybc0j3nqyK+xY+pLRzJbVYEN4tLJ7Ueq
/fph0qjL90NkrKsOWoEy5uc6ml5iR7t1lQnVIuptjA4S6kUVi1XZFsNOGMhWKMqsRo4IpziT+SZL
KIN7Op5iIm9XXuN1ayNjc0MhCAdrbFxiGXmSjQkJrm+poaTUatLUJYAkz7gxAN7h0cBocA1D+SXx
BhQp6T5S59hGYTEdgSGT0WDqD0S5ZXhTRoxfwi7qrQSDTc1wnImS7YxFedH6pZkTckCc7BwnxtOk
6eMuob0PcshFZGE516NNpoqyqakCuE2ftcbZ6I4V3OdtY+8VnfejpTfiEqNrTLDDYK5mt2aZwz5+
iJXjbqemnVcKtcVqMtEoqLINr5AQsrKTbHNtCb5c4mabeEYZhv6jble2oiL966PhP4+lSMgN+NC0
uxBXf5TkR4E5ZXHnxockbzjWaUT9HOvZZZa2AER9MkXBiZS9FCbRDjLEry/+sxbVMnEVoECEi41G
lCw0bzm1/iDtnuOitqdZxQc5Ag+ekxpARpxF+Gq89O7XlzI/lGu4lIF8fNFRo252Pmo14ypO7BGT
zRnoVGwYIxOe7Sksv/36Omcc3o9dveVCpoO6VuKXACC93PAfvhPaNgy7qRMeOhVM24i0lIPdUXLN
CiqGVU12xkXvRSLmoefPCklOyKwCf0ULouVwHUQQDc8f6X/1o9/Uj6RxNrn89/rRnkTW+KfS0Z8/
8pfJzjKx0yDwRaT1oXSEruQPfak2Um/8nrz6/ypIuv4H8i2KPawtJi4/l+bynxUl6f5BqRBxvY4Z
/l93kKk//aTYB+vu/jWGsEWY7jK8fnjVQDRlc2KF+qcGhkLnqzmHBkkzhsIMEj7vQplhfUtbGSqy
k+pstlLtDkDkxJqJrG+VxRCgsmbkXCuCbMAHL1etp6mNNfbqqRGC32Nrywuq9WV8k9QUUX2iho1D
GUHZ6VC6bxRdWQKdoC1GHrKUOEmBWZJ2ejcnxrxHaNH4ERTMb4sZEB6FOZjXnOai67HIqGtETTs8
e6Ganh1A3TEVbm4bsKue8k7Nirp1MlEdLUpLL50eJc9tOEw3RN/QLXeT6Wmq55oAppAALly47be+
DnEzq4wTty7kbRjZt7LVyCPBQqJ/7gxELr+ZwM617L9HO/ZKAyOI6/BUIYy4aH9/fgT5bJrJEqP8
aQZ6cbCMztoofUS95pUjZWeDMFc89Xru3bBB1zlT6Hw1Zbsl3YZU9Ls5SqYNTJPy4M1dfzkHVnSl
c3oH1pxqX4rKarA/ahD54iS57Ggpc5CLcJFnWeDuKBmqbdcY5bXr1p9bslP21qIwDAf9Xo90mI3e
W1JxMv31FOf9TEDhS5tLeZ06Jrpp6qcfEyIV2t8Q9mvxySzz4Al+73gTcgZ8lDoaP7RQNf5+A2Ny
MtCwI6FK93OIB9uGpiJChVG8qHShonnWMF6HBJUeh9KwPgUTf6oMXf+G/1OeoI0O11Fn09hkj3Jj
ucEDGmMdeHKcPaQFDTQi48Ue6mOxi7RaQ/Zk2GuKku1mFjnvtNGK/iRm4w3y38VQ63J/jlWHFNwQ
NINcMqb3vBktWrECcdbWip8y5SVH0yyHV0ys9KpaY3hVNYqts2axpquNNJ9gY9V32zYexjsGZXrl
9AQPgV+PqbMgkooTQCJBbSNPRfJwIncyX+FZHbt1DICbbUni7cRMD11n3aXZV4x3mFc55EP3SC7z
yKggKWX6l4mE5W9uxmEetUDd2D4l3gpAsyO3RdQ0e29U8SlrW3EZUNm5IRKtv7RSxH3oNWmvb6po
Tvb4oRJvNZuhfqfF7XjdtJIbquMpjWeQe4O1jE0tnWn2D80XM+Jc7YVpeME20Vst5Y6rX787H+Ys
SwgXV7DEeyANOkNUxH8eMEucQoDcTbuLQL7ctl5XUM9rsodpHGCpOWhR8CPy7pAb9zroQG6alnIb
xMgpeksQg14pGzxc1Yrqi1OZao2XXuwqVz2OC/Gq6uz8M1AY2pZ9bWXAcggfznj2FyWgScSqYAUb
KxxpOZf63ShqqtwOqnc0Mgucb+kcM11NnCcsfZlQy/RYW6qViDk0fROLjkphMvbjFa34+fb82qqE
1ja1qumypoB+IRVBvBw/xKOr5c0XQDiwH4kdRAoRU1bOYU5Ha4O4vJdCpLuqrDVcwqNHMdnoOnuh
LRBgnLqRe+0KxJrftwKv4/8Jv3H2zNivFD+25vSlK/X3fLXcfrodLuzUs3OQNsTPt3+o6HsCEAvu
9FqRu91iFvenutI+JbPHNyB/SNCybLT7BCwmwrhReQolKKl5O1fELC8GY5Awv6wKjm7aq+e0t+vJ
9zgMkTJM5+KpNie+jNAzeajiTtv++v35T1/AXJZX+m6sy2xdf/4CBb6xWkahcweAtt2MiRyvKhWG
28oOMqiDBfNMUNEysHSbKaaI0Bwh9FDPIhDWicJx8M7YQ9+gT+WzMTqQmYaRJqiuUEtWmRvcZ04F
NzEqwsz93VZ7WY8/3Hx2ho5EfIqgisbTz599yIlum83Buis7Isn8AaX1O29z4O5RsGQPErHtZTI2
1NFIgNq1+eJC0MmWOrgq7v8ve2fWGzeypum/0ph7FkgGySCBmQEmk5lKrZZkWSX7hrAsi/tOBpdf
P09IrtNWeo6EnusG+nRBJVUml4gvvuVdzuoS8MEU2N1p4U7daY0j+d3glcFJMKGStO3asUI1rk8v
pM39TyXmWJuhn/pnrLIbXlHqPPbRNJ6a6+oDpW/X+Xp0prw6kWC1mDMjPjjbmKMP4xj9bSdWdjB8
wz/rU4CjkS8xN+iR1G1Aa37tPGSkuknXpQwtdisWb/52sO35p4WvdrexSwcfbMo6a7eKJtiLOn+0
yu7QJ6JqaaU2zWnhqOgr+qbdKTnBfP2y9aLAiJ9oFCdqRxOAy6tyPFLmzr4FJrOMjMFBcAR2mzyZ
6LfvM8BqX1l56qdTlDqC6EeDQ+LZmDJhc8yVxwehwL6lcYokvl3mdybKcLT3AHE9YBmIvn9Z44CS
zKf5ZCOS3iEzaziFfZHMKDy5spiv8LznLHl/EZMkHq8EJoHkDJZPzNbp4FHaQKwGRpOrlvmGNWBU
YbLBNi+xuZjmFjeeFleAJOIGkM+CZWHWzXcPEzkMxohJOC33p4nRSvzGs+KsTYt+goZjpvlWGVlK
9yCu9mjc6e1qSfOR5nrxhfA/PNqTo36OlPFGCNCxlGGf+DXwXdKxS4UC6K6UJoJgswNzjrK/iIp9
YaFJvMF0dDz4sTGH1GvydHbKL8gIwBmSSb8UWwMKEobrxo1gY01hP5rjEwNHQmSOXyiK0PVhttb+
xNGy0bLQWp6mfq9I+Ax/93N+cA1oHOEM+W0XiOVvC13mUNSM27ieBEO6jA0RxA6LNbN73AiwsP6B
glwZIgWTn9VWhhJqUGAp4om1PVlbO6kvkUF2kOgf8+SecyC9p7dYFJC2JgFGLsUxEkXhYN1gxejF
h4S8ZQYLRDTY9EmTPCHwYt2i36YTnG6uz0x/5qjqSy/sMONEFy0BBjZQUprcbk7IK+qeB9VPSGjT
0R3ZBktir9EWrqPj6OZHdRfHQ38amQ6nzmpl4jHBD2jBbshr8nMDIxvSn2C5iYe0NnZr3JqPJUwy
mjRtCTaPyG5ujWq1LmLc17D0q3MfwVY4goaz0PV0LSEerBpBWNYT8HbUHmnzWzKbbztyy8NgVAiQ
9f26Ptte7p/642rsirHMAaB4Ed0qs0O8BhQRPi1AfVBX7yIJBM1gFaYtWeYGvdNwAN2DVkwTmWEq
1uIZDNwtZA8IgYCoawRnc0SSiykvr6Qsk2u7lBOMsSLgyQTLevOykf67sv2gsuXs8AgZ/76y/YQ9
cv1GJ+LXf/JPZWt5fzlI0usyVb6go/8FiiBJ/4sWBsoy1Jaox/yOjfb+sj3SN7zhdVX8Apv4RyfC
woMeb25JPcQZ55nBfwUrgZDiUYBEPcUFcWGDABE6QB6ha3I0lPJpDKg6EVAlg2Xtzy066Ln3KYga
x7lxIJP2J4DR6N6hiGYFkCUBtIFIUPVETkC7qYG51bKbmUFDeEn8Au7x366vjJwcJ+/KTaOq/BCv
lTldD0VrPpVmM0GHxp6IPUSW4ZtIniIBl2xqpOXQ1aoDB24hKqxnWtb0WSBBC4Okb/1Hw87BV1IX
ncncaWEgxOt2HmRx60IIPYlXXJARNTOx60xrnJ6FN44g/roSklbRdAidCsf4Ik3j0aerGJbweyDv
AaD1EiZa6bpmF3TB01Op3PHblKED7lCzeJuu8pLbDqMBDLTqeblW4xoFYYPXVLcTDXcMDBVHHqyk
iiYMYHWctxEiueql8zt5j+mkhi+98pLsyoXXEIK1kZ84LXH2Bk+XpNvC02ZuMkmIaQFqdpse8bXl
swSjXoW8ieUhWupqY5iBYqQ4R/Fn6YgoQCVsibRSWaJOU0TZztdpnh+YyVnuCbBBE7C2UDu8dnCC
wg6htPZy8JJ4I1PR/L10c4fnX5v1QHNR7DH6CqKO4frNuC2jlcw4n+S4EYV2CGZobmew/5J+DUES
9B1y63L5OoxL611zJ+Szdq7KOQxIXEIyeLGDuAgN1siSZ9kVzi6J0/zQp864x+IJQipZK3jXRN60
qzOjLpHkcWgvQ32DdHN3ttR0n82ytW4MN0D7WpXeWeSAfgFl53pPE76hIeo4IBPBN6IGutT4GoK8
pHmwbyujuXBo7S+XZjXS6D+zc2fyQQ67Ve8zyMlKpholuJjmGs3spD5dq9RyNqZIl7jaJDDGu81Y
9g5Kj4gIkBxU1Oj5prFQtQvLlad3A9eLd7VaSn4uoTDCeTXAEt4XHdRZlNEApy0JgPBNB/MF4755
ln2IYgijvQw/JCzjmjh5KltJfygrZC43hb/gDaqQIeqxxJvrq97wkd+rQMR4UTV9hw7pIYzXT+MO
565yOcW2MUGeH+wQuAzcuJIDtHEgqIHpIKU5MErEl2/VhiJMcuS+itP0mlLcWrdJC0h8U3dRyc4m
5Yw2olnSIeyyepy2TdQodbGuKYMg24COicocvfpGlUpbvBrdCquWI+7aq6hUUIYbS3k5r+V0xUTY
PKEnO2KzJuKFFafT00wC0igMmTLPxrZvT2FaUPFYpteFZeFPDzZEuhNoc2185pj9LVbC2XoTjMYP
Yw0q9hRqGfPWh5aLVFMtSEgH5N2GfTwu9cNM0uRsfEqhO9Jtuz5xoqarTviX8CkDA6rCgUi0fHZA
xNSnSJ9AsEyLAj/6wkxsRIszug4CiPTzZDhfXKDrFyJ1+/Wzym3VHKY8serTLlrm0G8MC3UQBg1r
lNk3DhZrAKKcIMP7JCaauUgzbzCJyE7WWfhnmeFDJ/AnY54vZguxLSn6ag35pvzExz5oV1hxZGxT
3lUNc2zNQsCc4sYADqP2YgSj7QWZfV57VbATPuzpnZGiWAUkfAZKsDppaIrC5j3nTpw9dq3MvmdM
8r+IrlD0FGfV7RDTdthrzox3TraKXWl5xnDaxTHMWzFm/c5L+rg75w8c8hcD6sKGaq5ZQNr6a5mc
Ob3h2kg9Y43RmJsMhjaEv9FLtnbvmfjSe10MwQIiwsGACFPvIMROOEnX+H9gHlU1o7/xq6i4s5ZY
3Ktp/dthCQ9o4c6aM49RwcHzJ3kDkdIK4yFawsFO2lNos9LcIV1NK99AoXpbzzSAqgiBPzwQRsiu
HRaal1NX15fQ1LzsxG9r8dAO8wNtFAV3xUsRdUBgrPC3SpkD3AKVzeMlFnCY2S9Wfws2L8O5gPMr
vsH3NEKMMXOKZV0OpQDF4MLRNMAhn7U9UeOK1pP1Wl3/dz71QT4FQJQE49+nU/+n+N7n33/HmL7+
F/9kU3bwVyChjOFVIciYtM7MK8SU/OovdEksM0D9JNCp07/GBNL6i6kbfy5p3L9MF/41JnD5FXAl
fovQtaNVsP9LyZQuJv+z7aAvxwIS66DNSDpHA+hoysYZupTlaDo/EyAR2XNR4nVmhhOt6HYIhyGz
l/sMjsGw7xeByVuPf6v7Y46KpkL/1q1be98YDj2RvPWNOt9QVpj00jC1S+YvnclBujAxR6Td26QR
dnfGVgnVAkEXxbistFnhGtifwMU2sDhjszEmbEvHqGPaO8YDODn0M+x2g7wsgA6B70LrbrB/dIOO
OmI2/GhfqaxvGJj1kNM+EiSy3nbESG9N+pCW5/M/kk6ogm+bMnXvWfXQr+7PpgeYAdYylgkGAJ2D
0uhlgGgzXzlbaVU+t16XLncOKTWXZidjx/2Atow/crk66nFxSfAYLVdiwasTcdB8by+JEncu676L
nywc+vCqg2Wen62YqMK0TaCsTCjvYZZiaZRq44+bPGMyI3Eyaer8ez3jLgKXYiSHPCtM1ZvJbo3i
VZMgZl7FbkBIZb1POige885bqX6v1jVHmm1XQiJwW5SqoQgHH/Q83s5fHcoFvQYDKgqXOS974e09
RUkO3xxa/k9zMhbvs1ulRn1bFlG9Xv+2M6//bHGyo35f7XyREK7j0L4A7YxE2VHlsBRlG6zoFjyh
LW9bYtcUUe6QyJvs8FnIzPk09dBqks3iuYUx0LSMpboFgFtlz+9fydt2n75lShcmfZYWs4fKqR/J
b+M5i1TDDObMe1K933lXbgNKEjIG7rFSnMW9t4KYev8b/3jITNFRWwKcYzGhcXVQ+/0bYcgYErK0
+FFALayXsF0aA+lg5a8ADz/4Lr0If4sq3B2BC+oDw27bpxQ5eqF2CoICvpX9NNPzS52fNjqUSXIa
NSPrLkYZhUdcLNQ5H6lK/XmTrCFP/5/tI/t0PGAnkeg7kK79j9kMRp+kTxa+uo0YrPF033+e1p+v
MEC4im45SmUE72NKScZUK5+UXT4hou6W8pAiifOlsAdiFFVRHMXNpzlYI7O8qFNqMXPnqiRf77Ne
NtA9AX5EM9VCFpXBTZZ58Fe2CajM4iLHEgxM6Dg5Dm3R9y/6jxfj+pZLKc5I2IL9fBzQEKP20cYx
qx/VMnRcRWeAJ3lW1mK4D3VderUIo1LVQ/TRw/rzxSAvA6ADUUDbAZ19FLYizHxmalnjEaKvhXBL
IN0UEr/0m6QztxZpYV8c2Ca5/L4kBdjrsO26LqDiMWZb3aXlOnW6ypnX4TFGW52+cQVZ6dwtF+dj
stDLdPz3BcwFSvdlmwSwvK3jd+vGgNVKCEmP1FUk4PgVLMN63XszJkqbdUFHSJ0EfdN7VwZtOnZT
j20bh0HlLQvBMiDBXX6wAMvs2WNYziekkZOvExN4p86eXwMwaT/RBRXw2HvoEYqPUDUqZc5KVWi8
8HaqbvA4hjGCUryRBHVXQjQYoYQvtJe58G+ipBnmr+vCvocCgDY2z8LGwJMgj/G312Z722ld9neb
TOl83eBlXf704P+lFjPQqF+v2f6B+1Ahmr/e472TcY2a8FaRXUORfECJrwF1OXpotN+vg5DqDsi0
p26xCi3426TKiCCbJKHegYBGb5yvRnIBVtc2E43BRo/AhnIzNURk2tULZmsVSvNTZvOXHikvf5J6
kubpiavmZLgZJllymEErzAjBfUdVtFCuBHy1kU4Bfw7QTn8bGrWNdyXAqrVfW1TH1SFyVJteFk7l
A8K3+rk6T2CLjGcjk2XW0gxMkkeHHZ21nPuqTzgszYhhbb5p/QjZjEPjtwPc8Ror7zw//LoBNxsS
bpUUP/Cy0DQjkJQb16xYfv0c6yBW0Bo3mKqiy8Q/UtlgbcOII0fe6tdntE2LVhmeQi7NU5YceTxd
4tXlGYxU8Hz13CQEx4W6zruKX5+qg6YRT043N/iDaQL/flYV3YhtFzQR/Y3CkGRtOEfCkN00i2Qq
GBLo9XKpg4FTS+R1xaLJIi8rb2ni11LuMwawLJfGzWz2lKrgR+DCane4RVD0m3wgwk1WJPdDPMBq
OTOcOV1+tCWFSkNlgyxWsXU1wCn67BfIkGbhCjO9mHBErBStLrpmOndj/Cb43cLwTd9EFjTefNmK
SFXxrjaYnMORsRVRYNetQnEzeHvp9duJ1uGnGL8Foc6CXjl8Sk1vha0AdsDnJyMeJGdXZ9cDl7Rw
9/zLacz0tTj4PDre1pOSLbgg48hKEavnOQfl+YLLy1Cr0XkbkgYwt3uUIt2HdHT4Yct4AbAJhRWV
PDhGVfIEx3kaeZyrL/WaK0gBnUM2zMjH7OHz6CWqU2t11/gV/7+1fMbu8HvB+V2ROq5kGc6Uss+X
bmGqjip/TiKWwd7XW9oBClKH9NQs3gSi8iP/QE1NqDuZ5vhY4ywhm345qNlEyeRSITjGB9Ld7Li+
lVxMr2qRpt0QNnmwWu5h9gvtOJ6Zd0GCBbYKwShJHZmSIkEEAEmcvZsDqxH7AXq3Y4asbfTVYmU2
67W7gDK3afH7tufsgnKCuUuigLjqlee6KgelY+puKGT9TKSfaitJ0a0hV9dvGMWqxbT2kOV6hKTT
HhFW9Lq6dqj77Vz0vTGd51EvuUZUNnk3rYMbnwsN2gLYCBI5Y4D9GbnDyKmuGJcEs4+MdepMxY5A
TLjZoRiTYVwRN2Md4OhB3g47JLK9IcFoLxvdOMY8gDDr/VjBLjiJDrYL9xxkyEqmCRjtOUnii7xO
RkuioA2GlMWTZjqkSGzC2mafL5Fel+Y496yhSKRtHp/XdGj5XWursaMadwWhsm+hcUNzyXkf1WY2
cbFqr1Atswm5WdWOvKXKcmzOgnopJz4raJnTCcDTecDKNdMmGtQemPTEX1LCtPxu6CIdl4D+YEUT
4AjHQkrQ/SI8Nc6MTcX5kBhEB8VTZC9Y9tCzoBR9jKU+5e23C4iSJWal+wXOJ/E5RkQjX+1YaGs1
e8Ilx5FaGskpX6IkxM7znUIfssMA3QLgLG2N2uBQ7hbiw+InhvNpxpyiQakH2oVzaNqh4pb8Gu3O
DbIDOsUyDfQnfpQ+I73LX3UIUV8/nKluRR2c5B1RNdghuDAJA/QPzGpQuFiwhniLVhHd6jFqP0ft
zM2nNYf/slMLYofNXsKB5CnRJZVs7GxcSacPfoqmOganr8u6TCf9u8WhyQZKN5114uzVuq+5pRnJ
oQVkw+QZC9kF3YSfRoFRH9DzOGXnOijHAXKYEgufSYAvOOAAk0YxEMlGa/G+GdVUdJ/Nci7uAvAq
GWuoQ4/wzKsa7PK8Wo3NDxpcrXHexaXhXEZcKb3Hqknbbykxd90z8aqLJycr1u62rGkSf59wbpg+
ATsvIBahz1KfN8KdGvQmGMq5zbalX9vTb57oAV51LYL19cYr8VW7EAXHKuP2gZ5myzsCQl/Pfou9
TlKpDj+SGLaOTunXbgLASuO5sIMNqPtl+AqZZ3Q+e8WwOPE2a518NlAMsZeo3jQB94+B0xLFw+mQ
cJIVW7kW07qGQVqsJjMUG/e685nNMUJRyS8n07SavYK0KUKXBG29izOGqhx83iDP+mWhiyacwba2
i0WEW+CnDT0WFLUtsy0uXTYtfHD1B8R5BhRAzAlCKL0188SarMTeRw22o8OGCckK5CYSrnHd5HXp
fBnB+Gf1iYkwf9PucL+Y57t5mMVwaSA7aNw6htOv90PFqt64nedhEiJRna4Ba3mya0782Y1XdJ2U
bLwQWfwiP4nSIZv3a+34JdOavBY2w3UId4xtrDLzqyfQH7Waw9wblvZnkLkgcbYjfBoJkqp3B/ME
/9TWRQUjN128tqLSyL0rZmtGnp8oryGtTX4mfiWGwMLiNB/hVFouXHxvh7imMOKrzuZmsutf2be5
FJFnQRUt6xovIRSAOJaaUpSN+2Va3KZxwiaaukiRTyHMnx8WJV2yscic2DDdvOhck353RgbVCTqq
HCsBgYTN3fo6few4wNkOiePpCFe6ps4wU2OJrGhPu3SKC31jzeSfr21skJK6dN45elw0ZDhlELuM
7fVkkZLPRHGw1tmf1+e6cpDgIbhaOE5odpyMbZl6DwwvUK0/sZoXaQoa+/QamrF1CZMMZMjs/dzg
KZ1g1koWDBZBZ9HBMjXEsszHgmw6j4wpmjjDSzr1Wk7EW8UhcOyClKgCB0RMoZtvcqPkJSA/t64L
f5qAWBY2Z/TkC4fUZIL9zwNqKqlPTvQ+Z64Uzz+AlyiNrbKme+64CNRua2ZZfJjJyIO91Lt1x/X3
QabjZO6gToH4XmahshBWEFOs7nvQBTpfxTGJaGMPY+c9TlNb1XvPzmR1Edd4XVl7hFp0LlU1Uqcs
SQAnMjgZ6sobrOfRwI4nCKfCUiMqwaiPmtZGNhFez5vA7FwePzF80SnSS7vHw+iBU+rXCYagOc8R
+RfdsfAC6HA4eAn8r4wt4m5ZUJ8smHbR2xvhWk2EGUgizXbsjYTl88+TWFu20GaEnEFGKquET6xL
EEROmKMi4kONMzAaSpHBIA+4dcs5ch+KzqL39PoaOTAtzW01x+HOb6OZOxaMQXlHY69g0lxV2EtM
yfWKOHsUfFU5Hev8kDReXE6nCPR76g6XCp3FMhnTzaeug6+XnDZmpZMKc4BegRi1zchnAJLQslhK
+nXWvE0ns0PzE3YNWQpedTqbRwyIidvBhGKm/Ot1QBwjvfAQa+N6ltXR+0CIzuRW8bUk2Sp6R2+R
tmx1w6vKWv4gUo5O1Cwa+g9pa+kFJqIRwNMJ/G5kH8P49XRNlMJ8DLdcaEceFkRordx5otP55oBS
EFzRIgP5zBQKH43naJUVP/Dv9V+TlXTr9VT4kuPSSrgue5skUqeGuTfGOpkXjb7a1+2RDy7vpcCT
iJeKpogYygsxCxV/U3DNIQgjto1G37bEXpplmi7kBNne6cBrAkKt7KC6LCcrVkMYF1hwj2d8QClI
avEm5d3iSAjyiDFGxy2YjUp1swJUfBYGqqbkQxkv7b6rDh1lUDf52AwEl2VyxIUzWUPOZMm1WWel
aesiMGtcKjZEO/UL6Z2A9JLCk/c8LO66nIvJpn5CkHqZkUK0RZt/V4k181Cw0dOZTx+bilyjR5mL
u03RgSIx+FUR+0ihkRjMcYzByq6KW8FPMTVLt1sMw5h/CAWf89o0lGluBYgdyhGQbnFvHBCUF+Md
vuRiNLbGZPH8DRSLdM7u+ToL62ZLF/lIQ+lEPkayU91FeMzy1vSsiHR9RpMFWGen3IocJXDr9Z6n
riPuarXUvKctwo1Tr+sHlhMiZgkf1EWrDpUNMRkCkHTnIdlVcmbpH0COJ5QquU8e9br1KlXo1Kow
yqAqNwv+tH0bDkr1emFUk+4foem66CUJnHOqPpnODE6YB7LqitsNDBiA6BlJvcWpluPm0gM1p0dJ
UxafREk1jzfeLNcepM9sFQe/h7jXcbAZDvkBkq6K0Im0b83HBM7QEasyFAZ4k3ZlE8W302vVyFQM
TdfTFlFfghQJ/+jhbDkRnXdBrHQV+FpYFPggctE1FOwl3rLLFqSuB1/TVB1kBFjoFEkmq39KKui3
u9Qa9aWP1cxJuMNyJkLfCXUkJ7+UDc0R/nBdWFHIhOuANfAajQQyYJ+m1QZwZ78yGQBQmH8X9awr
9OU1cgRzrxPd0sr1qny/t3bcD6Rn5JsCbw8GOhKj0aMGK+Nv4BxBMT3OEWoQKMEhOZ24IQCstgD0
MHbc7wdfedxV019JeYqtKoyiP3VDmKlXvjl4w6PrIUr0XLwujcI3dGf3/bv786vA9GtMth4YMZo6
oi7ZCfNeRXfiEeFUHZ9qzxGKpJBgTex6/7teuoFv22/o0FvCxdRCYKVx3KbsTVDfU5GLx1mUI4XM
mJQQbrbugDv5sk260uIsXNGHyr+PuCSDnB9V0frFthmY817RhdCTDTS1dIenf43Mv2YfVYfOHimS
dHvOBOm1Ez+9f/l/PCqAjMAE8FxC0gWml/79b7195AxKyCjS/T6k1sx1cEDpspDDlRLq/a/6Y80J
GsMBoyAmQWhFHve7SaNSuyKB+h4kEMqXQ7T42QRYWOotgv4UUiEf3NzxCMXixaCyaLt8p2v/4VfR
AfbzY/r333G80jFqmNls12NKZL+N7UCfWVFAvk8ysfDzz8KWZveJaFe6p+/f+/FjZmrqgrjQU1W2
m3W8IqdqmNUUxOIbPQlKxwUT8eWHX2FxkHxwz8dPGSS5yd1Ca+HbaI4dNa+RkWkBWGbWtxGvr/wS
NQx9QKWo0XDIJ7bOGt+/tSMSDdB1xmA+hivCZcJH++jtChoyfyWYLN23rmJOlOw6EekwR1BceK84
uRaztUlSwDQBboBuwsn4/gUc6Y8ytkELyMYGAhcQX3Lr9tsroEoEfdzgBN4mJviiHbOsNQcqViUB
YJGXtEV1iU6NUVHS8ftXU9zAZ4jyovQgrCSn0+vDKTNXt3ho/S/s4hoSB9XCiuc6R0KPEpvfh74Y
DH/apFY+EK3l5OrDUi1jreowiUw2PrB8ZuhZOMiR5pE1dfOUkr7Rotvh6w7B/TRltOwDV8kNnVv1
ClHwZWt0tqSKAamuj3OvScltZC/0Ed80XcNlydcGfU9qT9TEa0UnTZk/vGR8tqWT5SiDr0TXBq1s
nr8fZx2dSWj4YH3PkyqnLfv+4/9jwUnHxiXPlXhSiz+X9khlkRjmunytoSiTs8bNoEugYB10BvCr
Zf3+V+r4/XvI1aE2eJnR+GAB5DEHlkHZMrRo230NYk/3GMcUBN4lbFk0Uq/M3uQKtBrVSBE1o1PN
i8D0Q1/N+5dxfOcC9y+w79ATuW0G70eHaOW1Fc6tQ/I1r2l/nqVlN5RfUOuzuwu7Hz4gHB1HEER8
XSnoFHl4m0HVPFrkUJHiNGn6/ptqm2y9dzOplwX2Ejqzev++7KMtzadDg3Bw5ZJM3sQfAnTxhMlv
USn7S9WjW4GujOUN8R4Pp5RKN80mTocNA++Sf0gaNqzL2RXBPamw2yEhR1uXFgwlj57fg1IvyEMt
CIZk2GlMhZJIgsAPvEsS3daaDd0G8AcUhJNT5aPiS+1aMh25UzgecXNG7nIWxTHGIYQVVep4TUGQ
z+2pYRBHiz2mCNgbv/8Qjp43zwCpNAGnmwkk7rzm0ct13XgISgjPX8Yy0ydzVDOqgDY61VTO73+V
OFrP+p0SvNB3DhA8I44exWzEGuipWk505zv1y3eNLq1TaBU61R8J9YSg19l7AUiHpwDPQXdJf/3U
qVF3CJAj5uG6jtT9TGrBhkhnlz2M2FMjz0ZjvejZqh4TrKbMp5NFjBRMu7yKKI8h0emy5Nfgj2mR
HiIZRWazd1bfXPmdqkv9wlc341uMl+m4fG1NINOue7yGm+g3mVlkLYCPFYG/Docu1Y3lXyM0diRr
N2PmwbkXoe/BBy5WOdECef+R+m9fn5QQ16UNHwWWMmchfLG3Z0LLHSjfbKIfhRLyAUK+a+9txqMH
GAONQ48/AeDozMH54qdFFDYOoiylnRf3Kk5Ntal8+HxBD/4uMBb0F71kaL9E1K893g890hqJr+xD
GmQ3JaO2H9rIATuczkiWLbMc75Nyo/occnx/yYmUrFTricpDo88ECkl+o87QQEGao4FP4IR0DfN7
YzUGioMCTbdtH3TXDqdSvncKQ1zKpVPh0Cztjpl4cZ8wwz8DYsmUIGsG2nl1PjHCG6ziG6gJF/Gd
GKbDuLamFYqmk3c25/P3JqktdwOdM6GFEff9iZ1V1d0kxXifCgHUFnFSpwoN+nZf8xGLn8Jous+e
0/ekRdF4AOGX7RkTLMjRMi+aEeENMF4YnVKdId+/G6YAExA/ybK/R0h7dM0jpEwGYIR3azbSEnMs
A/MJA60MTF9vnGExH0Ej999w+MDqdHTHbTJ75Xku+xQ1oSX9yDHqzZnBgmCsTDBDIoKZPonC0YKo
af/I1o2rJ97XfB3YWALtvEKrrnqd6X35YPn9P74M0P8LMZQc7jgjiVaH1K4LqifPlCUYodm8Q3bc
7jdlmV8qB/jpdo7r8oYRocw/yMf+WPkvtwlWh5ENQfy4HhndPqhzpyuf2qqicMU5DPefUlgA396/
yZdP+s9j+OWRQo0HnwP/ggP5uIicIaLZCqzME/Bb9oywOS5APeMuFc5JIW8ru4y0e5jR4FvrBk0o
FKoYJ1i7engaDsC+AOt5nzqvC84qWGBfOG+xqaGvOOCxS/JiD1XZbOzBcm6QkK+ey1H4FxXt2Rtl
LzacVOrUjVVbZrOF6/tJ4KCVoHJcenRvcmZxFmJogLOD5SlDlp1RwohCSuya3815EGg8B+KDXOgI
hMcj0WkAaRDPBac+BEHehh3LkP3s+Mv65Iz64SepSE5EnRWHeZ2/V1ZQfBVGMIejHTP0aPEpPDjV
4lbh+2/G1V/z5s0g2KCrOsCAAMc8eXSgWHlUMj5I5FM8MjigndahHOu7MoAYUaxDqJxyPshymFHe
MZqSaU9dHmr6Vpeq8dSwKWRsfFqt2DmIdaFx1kXBtzKln77tcuMyXSp5sQjkF5Dju6MHWnyqDV4a
bPF2XrbrMDN2yeo+2somkLekjareT076vHhZeiVkk6ItRMszjevmU+kOBTpxUT8+LkUyfjFdO78x
Kp8DwgPXvRf2MMGR6NL4bioCtNeT1uQGQGkHGzXEjABk1mYMQjgTPzuu4V+kKOP8bdHVjrSwDsrr
7z9c/eyOny2+CuSgHtWstPX++61iHmkJ895l9NSmjntltCK7b1KxIOfVVuaVNVFLfPCN1lvgK6sK
sq1G3YJHQo4YuNrbr7TgnSE81WQ/sYxyzmibYT0fjYtxTqMSiSmTvRQKN+6eGlw279N4Hi7SNDBv
DBWI/Qd3/+fSItUkfNq+DXfZOgYDdlPp9n6Mq0U8M2Cgbq+jbzWaUSpsy8XdtKad0+Eoa5zJBpde
YZglnnsACJ+G9EmCYMvAE5h9V3vyIR0KpVu/tNAro08ucy/tD60Q85U3IjAbYwGNlBoU5GnTYyv2
Yk5djpvOQqEdtXq3OUGivdln+WBcQtbX7tWTNC5ezPLg4XOcoZfe7OOJ03tbo0RxUTLmJaMUGLxu
irZAjVNNCFcohp73rqI0JRfpPw/2XJ0idyS6DVh4BEI9+Nnr1qPrdy2CFLE5CaIOPdKZudLgFUUM
TUQ2l1MT9FjjpI0HrhayhHWqXcW6E9OL7b+Hrk4fkGAcnp0UF89Nr7Loo8bXn/GHlRIAmgO65vF+
jkOysJmE5vOU//TRtJZa8DV7BOWxMDXklVFTyae1HyOkzYzHRWUTSqCeasr/jwWLIzFpswC5irbM
0YIFKdWX/SqLn1HpwXd+eSHeCuniIi28AbdGFdy1XTXuIVZFuyaI5q8IDMEHgf1k3b2/Yo8adC+7
R4tC4SgHuwI7efvt7oHwO6l6zrOfsTS9z60HQcEuDCNESTM951wcr8aiHc4apypPi1mgSFdJDjJZ
DPN1KhEl32SodFykxiieQc637sZv0/zzB1f5tgbQV+mBd3XZ4mCmKSqPHpkqo6UMWmf8Sde7jb/Q
QHD7LZ1ENOx6U13ZnsqZKfUIm4V+59bPyWpKSHeR3UwnQtb9vYupxoUpp/yL3TkjExJOgT0e8QWP
O87k1mkZ976+6P/mWdwtzc//9T++P5VpFeK31KU/ht9ZE4BpiYv/nmfxz3/zH/Xzf2xruMeP6RvW
xet//4t1IT0tpsTKoScq6KTZ9Bl+CXtL+RemyX4ASJnNxHbmMPpH3xsJpkDj0AOaAuBHPH71i8Mq
fNSeyD35JW0Z2+ZX//t/vpHW6I9+/l1q408hMDCfuMJqk2Ng2bQD3u6fxapy4vhsHkCnbcv4uSA3
mJfoNPP9ENGaQ5maZzhP7mBpP1hwqjPRf5DPaM+k385c4PZcAjL8EL+5Zxu5gbeXULsUFL6P/m7d
oWYcOQ9L0Fz0Kt9V5T7ObfJLfM9CFJQq+j7RZdPE2Qknd7Wb7K8OJjJrgnOHEV8ipbBJa38/oC/Y
SOuqTWAQOq7SMNL/y955LMltpVn4VeYFwIC/wDYBpM8yWYYsbhCsIglvLjzw9POhJLVEaiSFZt0b
doekIioNLn5zznd8ZcAgq9ZvxMryHxGzUlJMZp9TQl/W/zub5Ikl81O7sOEriBdUgtly92aFW45C
wz5LlXBesgo7UhGUpjUMX816bzbK5xlvY8N3Yj/ZDoJTwA26cYr6EaISTjxC3+iWoHQkDlljVooe
pTPgPGdnU+nv87jsg6kEaK643b3tvmiGErSR+LKgUgsK0ODwOj3TFmxS3Q3O2KCvcn+YCjh32XVS
wsdUjk2QtUUwdPVnMj7VXZL3d1ErTqlWvi5R73Vp5kl7zHesGp3N2EF3NcryrZhMdZchJ97M6vhW
mpEfEWZ2LtvRIpWp9mq75WLLNsmM26hIo18amf8eLv9wuKx1OxO5vz5dDtX4w2ny6w/8epy40P6Z
hPPQ5aH3+1Hi2h9sGsL3soDRyDtR7tejxDQ+IJ1hkGrytKZlXAfsvx4lpvqBrc2K9mB5xyHDaOqn
o+PvjhKawh9vZE4l9kbENa/UEDpHw/jxRp6LrhtKkThHFYnuScEORSKUzveUEcjXohyWwxh2pvBE
viokEXFlNwZD5RdMB9wkoWiVO2wumCPjeh7uTKMLn7NFJ8JeJtP0FndJGh0o8SSg77In2g6ZebSF
EQxXecrF82x1433f1EYL/RPTzjEGTPl1GGbrPMjeeY4njIs42RunYOOr6bNfVtxJ4LMOsYttfbCG
PEghW6EtQwAHl6cw7K/QE/NvpSoIv82Xm9Sdho8YK8wrMRo9mNyhDr93xlLcMkC8ZHkfU3RByHrB
vSa/mECkPk6RLDwdW9h3BU0G3s1o1Vo3k0AEP7iFP83MnQDkTRfSCbVx48Im+i4KRbmvynQcmLUV
0c2g6NR1Zg1fP0IwkSDIMswztLkMHVu60C4hDo6/LBySMPMxyFpDGL+QjxVNnuEUzq4VlkHJWNj5
w6zF8S0jmYNFDG60T8Y8wvvvOoBAzWGnVlPNTqQo7IcijhakBAh2xWYGE0JNrOk9Gnts3ZFfmpX7
dV7dFB60MqF6cT70J9uFAKqHmTz2YUZOTqvZy0avKtvLJQO5lUqCAnte0SpujT10rtxkGw6ivw6i
kHsWSYDgFbV9jRX0hZ6bABfxzMWuHyQs5iPPU8Wr1nDD6j3nUFkjD7X39ENnDUKEcEUmIr3F8Cnv
wdbbvUlmIrhl8hPJY5wm4nGIVWTLRsIiip+UyDNiF0v0zl4yJWQxGnYt0QCsCY1M+Lpj957baK8R
jg5Zju17qqP6nvCorGGPI1E8JuE+6BSJ8ly6t7IxbAKdQieHeT2lB+BeMoBblRqHurTBY9PVM8Jg
6letSZPue+gkRgljq1Uuj48p0VBlwt9On6WahdNwv+Blrxh4METsdkIbkutIntNdoRPJkX/l0wWY
Q7Jag0RvheLESnsGH0UmxA3TgyK8iVrp+gXirI1mdsPLaI3Ammi5niKHa4QoOlCFPphYCIhkoFRg
2giWfR+WGlrdKiyI+0xt8up0cZw7M9u2RVZwexuNt6ZrQDZkIFxqzQbcaBWwoCkI+FpFfKzIGdhg
RWb2QGMXGQXUae2ko0C8VKomIA+bV9V09/moWueFMS1MmIZkIqRWe3uSTAn6aaKBGUyI5aXT8A00
S6neKBbZ3H7b9oZnML3Y8qDtjrgmcDykszgYkzuee2NJ/FEW4Musvmd0VSySpHXZH/W0L64UPiaB
V5UN6iEtu6vitvdLzI2ZIRxiXv4ED3Jj50721cEJ7qc2o/UqSdtHpdfzGyyfwmtLaoNksrSHxiSs
YuMUJYkjCIw2qPEnGL30tOkY4aPWTZw0fXZnmOWzazY5xgRubIUM3rSLrkQ24GqEDuSFTPW8lBE1
3tI2d/bNYhdoSRicKmk1PlJHklo/zO5BVOYS6Lk97Bw91a92TVAWxxMhZWZjHYRlFoEN02nagK7u
L5abqQEmlumMdnr5CJLCBCxlpX6cAdPF7hEfRd+JR8as/ake7XzikGo5U1hNcFYmVqi8qQsJANz5
0XKrZty9SRmld8vA2ZhFtbOv2ADtkfWl51FjBhZEbTStal3Kj1ItvBGcnQfBQt4UiOl2oikIMm30
L2zfaIGiBAVVWCzIhWQXFC12CG7DMr4f8xiZ8UJ8oGdHOe+2jrq+8RyCNN4SaBO858aQgJlGe4s+
VynPiRW3tynbw6+DClQNdMqyKzpdDVQHVlNqin7btE7xSVaOcxd3EdC+iI//Uwo/XLd65cbKpvIW
9WPir/rsRxrO/Hs7m92LYGD2IIjFuSelLwLNK9VtXpv9ZVg68hVVk3yQHAZ3gNsy59CNk/4hMY3q
6MSt8QV8wbw3DDmeJ12WF0er2/2kWNpt21oZDBbZc1eN80OkFWsVqWjJTTe43Zm4iOFMVEC4V2Oc
9ejzMx+JMEdmHt1qbpvuE/hb0EZ74WyywRFexJnvG2mn6/Cd4uWo5nW8LbK0uEn0PHyKy2WMAfxZ
7ef5fVKxEJJ71tGp7FudhOjNok2vRdcTtGvUy6MxGDpMC/aRmzxPOtgnsn2SoDvPSxyOZ9TY66zF
VlO+bzK+WnavPUBP1BlJpLU/j7KbPXvu4o+1rBmvYHm9i9tqjSNbT3ue6NMXojTyRyM2gbDC0SQV
ZjQyjzzSBfZF3x2Jgb/v+rlNb6OGhJ7ukyptN9MZbZCSp36alSgv99UkmuQjM9uw7LyusnueRJnq
pLdLFQ86kJq+CNhzSn82KJ6DWp2Wr0432EGYzTCjId6JDWYdyJlNA8k7iud+N6rFIzwYuUuyMQr4
koYHPsrcJ3Qkvwf50flWSYJEpNS+xHP93/r4W9kl3fwP9TFzpXXo+tf18Q1s1Ph//C9Z1f1QJ//6
g7/VyTZ4KMy3FtZSPOpMyv/Tdmuq+UGFN0CNyiac//m97TbdD6rKmcO/BrmD7ZJW9Lda2fpAL46d
mB9j+gVX6l/VyuLHWhkrF/W4YCIAYMdCM/fzEokuoWbPJriPVMuMll2CEakL/UpXN8XcXpBNukFN
HiIPDuAtckM/sLwoHPkaRFZt3w61cg753YNZKrTJKDM9pOPtpaIAjBujP6KnFj46CftU9aXyIIm4
wg8SKacucTRsPNR3g1NPT6mDPW/TV6my02pZbcj1lJ4NXoHTf8FEJSVCRncIDXSXbujxe0+b2Ir2
qC0vNtX7kR07DwYZ3o+LvAUq5CN0UEEa1tpetqyAWYpnlPz2kR04agPk5XEkv/aWBrs/rRmDEUHv
NUY5X4jvoQIhh2oa1LcVIbBmxStBmKbadgYIuQPzAOoo0ndKaZUfXWacBCZlCQoeMyC857bJSAlX
ooykIr0ztrkoHK+26mZvFDbXLwib5J0y8Q447n5u++QqoriiNNKWfZ3prof8GDhcDZQl6tLbZnZV
T7bZEhQSm2rPhn9jqjWeBQYaPr4daF5FT/grqthjlohLrLkhivfi6qrFGHSh2LkACWv4lZuQDBbi
z6mXTCNSfT1Ud0qSapga5meyimZv6NYXQcyC3/VG6OdzT9a8pdhB7vSvBaYVKEjFsQaodKohPHiG
PgXVIrZKktdba5Elxg+bAQjd40Za9t4N3WM3V6rnrCOUZAmV59kgC9lQoT/jg2UQQXG11c3IhZwN
EUmv4pSU3Xo5tJoz+CDziGaZNJ6LrYKteGKXTVcE4NeJdlNvE+DDRi9wtfRzPdX0aIpzmMuQVscy
pN+3zch2MtrFRk/bgemU+kQJslQ+wrJ4xj19TnVGJNFgm1ulTNRAU5d4J+riCxqEz6nszN2KevJG
xtiB6qbKUaLhM9HpIj92LZ/vBGJ5MpNHvhJOE927VVpt+1UcrUdhThgOHmaHub7ZYm/SOusgMUt8
ns1F87KmPcG9fl1mc0LS69RBSt24t0oYyAupqGgj+C4kqO99EdXmPsZNBiJ6njw1559lWvMJj0Lh
Z2IKfbtsgYhWs9wxijeDilXqFosrXiUjfWp0O7pgVCu2hvMaua16nCIhPQQgyiMOyqL1IAKZPqzJ
5FqQTeuVwIE2aRYTl5q4zaNaTsjxhQupnERQKt7lwjwz3zppNgZ6GNvbJesLHw+sCEoQB6R4KOpd
YjdLoC5ZEWitE3s4/XQ/7gygVSK1D5rehF4SOcNe1yPypQb91Cpq7yt6XD8RqcK76ISGr5uMle3I
HX2LMLmNalWJ11qp+jSHgCo6hazOYpDgpOJaeG6/aJtmycqHTDFmclJ69aiBdbWYX9kA2gi3jAOm
fCNBH4Xt9Tn7eWMmTIVftT8LpUSKYSvnsmKDTHLfjWJmr8kALCktnfwwSBFtepB4vlh4P+ultfbg
T9JNYqjfpzAmh3asrGM9kOqX2t2DSlAEGTz20QE2tqEivuISlahfwSzFkLI2y5jbvmlOQKilS3p7
fk1gU4daf5eTUoTjJtGwqijfCnOZt3mznJpOEFPMf9+Kcjdird/QPZRbFqmNV5C05s/hAEMe7iAt
VvJFVtG4iZzloaVV3WMQpkbKhLJZ47g9tgNzoCeV7jeEHIGvtpvLrIttX+hfXGkwLSTJA/99C2wc
sbNXCDdgHUi/rKW7yZTfBlZt2ALn8MZqUmOn5pp2pNvMtgDMBqKS63YzdxmzF7dw9rGh3la5/tm2
23OKCefQWtOzM7YCip3defls2IdeTcpH1x0+5ghX/LoW3+x4HL0BS5qHDesRx95JoL2/qR39mKAB
ANFW5ZecYQQ5N3c5wBtkLrFD/yK/Y5cBuuma4cZaeohibCv80JrTQI5dfsbX1exM4AUbCwDfPif5
uTXiz0TYuY+zSf5YXmonsFT9FhGA3HZODjXL4YrlsjxK0lXucHidU42HENPPaZONuNkI7cq3DbTi
jVpYD0RXxz6ksuQ0y/YQNQRFDYOhbKKu1zcogwgGxg3xkmfTpzHsyX+dxdeq14dNHOXxtmcjvUOA
pWyjkswTUQzuLYvMOxXgzkZCUucXHy81Bnuvs3SoEOEVVEEVjHaynWQCV8E284MWKx+RuqUE+E1f
jaQmmS3v+4ODIZKzJsEcEob2nvM3Ocbkqe0ihVNudBTL69fpFGB1Y5cshoWVZDS2OqZmbzJrbReJ
9CMASevASOARfc2pzWSzYfj93VBqgVQnD7cKbsUNpCNti8ceXJ9ZqEenVnWiYniSL5yqW0QZBCqi
ZDDK19xuy+7JTGAwQAB0FOmW+4nETxh/tCXgAZ67EBgEt6K02xRdA9++wrkNrcYlWkiAnFxvsipl
c2zsJfYmPKFixZ8/GT3TBDtjdETLFQXI3Dm9ARzAtmVDWuqhdTXMQtjNC77GcimPaFlb4XopvZmw
GDrkiRITf1I3S9P8IgD87/j5H8prVvqrOOqvy+sTVXr/ls1/XIj9+kO/ltYOEFW2mCjD14nxH/ZZ
jvsBj7JJCq1wUWpjlft9n+V+QDXD4lNV2fSswr3/FNYGjNd1z+ViVCGvZP2pfzGE1ugVflgmodBh
Cu5YzKIRBfxJo2OgPUQ6G0bHQaP99dDQi3ucZsvWQKa/SyTDv0F9TZVxOtTczuOGb5t7Haqh26MG
GHaG1OQOeih2rT+8jXe/aEj+uGlDIPanX40XZ7GpBk+L9Fb/ac9Fat7Mk9ixD2IgnPHWZSpz6yx2
z++ghBZG8r56SDSsw0GCobqLDAqzmqS6gulZ+NUpS+2+pZmQTQBfoxAfF+77mznmXPWIRNBeijju
bIBlQ71smcwocCMBa6i3PEmcVvFNG2H7fszCxQcxARnTx/6N/Zp5gsiap3geIvpoBX05pM9cXsEs
5rihkKgXbMpK9+g0vQYag6N8atjwO33c9IGLrfVu0ez+ya1IVRwbSYoofu6cJza77tcC4veVHIsq
ZYrX1KlHZgVzWQfpjgbMUo/zY2dUPLxgNsC9TnvDvCdxzqfnHrdlEz5Da1V2TbI0Rxml2q7vjfYt
IY7u1i2sycfsdtKiisxGuyVlFbKM5k7zTrR9dyJLYThOCmVDIhaOydxN7RtpGvO5jGLq5jSjb4Gc
e1VM90U10naDXauq/CXL408QQGqxoVYeSeWrlPuFxmWCIz63wZgM0zkSy4PaRzlNQp9sJlibApQM
QbhbfMTma9MW6catYwIv0TcvHjrfxL6qTlZfh6Q0eGw4hIEOiyCnwyDd7cKMqzWe0oj4tonYkdtl
kQFTT30rMXI9zqpKpCc2ssNk19Yuz4tyWwsoLJ7W2L3XMs9e+fYakXlhHQg8/RtjUSWTVPIWGUqP
noZR9Z53XZ5I/2u2qOzVY0T6xXG1fRxjjeA3PyzV/BM5Eu1jJZiCSmx7lpf1CrP3NllujFKfzsaA
yoRnob01UfjSGPHqG31YKwmgmZQ1nU36yGBuF+TDCMSzOv6S8bVHQNhM0KggdyyYF66qGMYb4geG
kzW2fZCbibszZZwHnbKUG52oRF5QBxC5o5TuVSq7qEmo9NBKiXA7Mq9CiyZNfN38JZ4yAREOHbcP
wN1qX/QIzViRzvM3XUbhBX2u6TvT1OxNPLEjG9HUfmn1mVyeUMTaQR/stPGr0Zhj9G2inHdkSq+8
XhzFDiViIXSP0WTORgDyuZ9HebRazUPl0ZpahDgm8IQDXm0NyZZVWSx0VYpWsTRIQrU8PrM/Lk9I
f3n3zD6kJaFvTdEZb/NZt0AoO6H5BppjhM1EefS4wGA4u/man1cvEuuDlYaEE9B8606y3l2xI81N
lJvhgLEf/r3PRH28FwBlrZ3IKvuQdc2TG4/LqxiWKQjH1jxgWKmgG80snGpNqW44CceXIWZzs6kd
e2bqACxH87OkyVwvGstx3gD3E5/LUJBvZ8lmon3QaAxvIACYBzj5I7MCdp2kqw54qs5zxaR/Q08+
HKrIriyfqSWLr5TK9JZyESYwPGf9FnnzeG83A604i6VhYlvW5rdQQuvdqCMwZrE1VApDWq0efJ78
2FY5Dk5F7BIj3Yd58Rx2pbwmvdFVwUSddAnlKM9AIquWyYNUbxNcnI8C00bua31i+mrFv7f5jrpB
o83xcVis5jLqcXyX6Ohp4JqWjw6ZRUxOaaWKemSEi9fW3ZD4nL2lEUR6FjtgqVCWNfZdiydB+VQb
jPC9SUr3qhujkwRCLZCzRTWl1dZUC/cbKCF5nAttfImcmDjUWRuuWjeQjVPV/qLYCphJAM57VceV
v0FmYJ5id0i3YhyaB7owYBqhZsf3KDf0j9VQMKuYp4LJT9NGd6Zp1pS1lPkwAAg3+FwRzlBsTHTI
1q6BZByENmF/sXSlBix4Gi6dA01tE2mjhdjBcLKc/WtHnhth3JlvDS2Xy6Nu+M757l6JCidHW9jt
ZxssG+sKV13OmNUNwAxGemgyZg9ytGTA2TAdUpGFn4Zs0PiDLx3nPDd5BpgSZUHFSqRfYkgKaqGz
27CkOCPSBfEvZh3ktNpq8uhioAoPA0PwU4e6/P1jI9YjPgFTQFbekyOrD5oI2th+Sw11pHSlOs3k
ZDwnWlcf0lqIO8x2Glct3nTZunwRLXQLEyTrNOToX6z8HM1O+MZ86uAKoittSwFTohWK76hlHdQk
GN/MFMw7s0IaT6zrpN+SrsJnOibOeGP1K6Jb73W/iGd90zf8kSCq/4wbS943ujGd8OaZudfWcfmC
/WR4G4y8PWVMJ/2mqKbdWpe85kpWvfEttRB1zCLh6EjF4ARzHMbnthrQOPI4bU6GI4lKxtsIw0VD
ameuDeBs+gDT0XzOjZLg/QZF+mxj/ysDacvs1YT0x/7HLY116wN+wE+Z22CLzLtiQrovRgBHYGh2
DMygn/aD2rwkbZw9oyPg44q/KGY63CrEPlxn1X7I4Crs0rTA9GyYjViYTMQkWyYjDGKUo/otbG/z
QIlVfZ6rsNt2vVL4VafyeYWgwyGhQ134bFiy4O9Mhq86QqOArStwGBE3xcWRrXZuOc64i9p5YSM2
0IJRdzGsyp2ODQF0luyL5oqXllmDb80aXMIRdtcxdUJFsHF1FPau0NyZcOTwewKlksV1xIN5U6Xp
DHtfSx6mfFANJIpgLjdNrivbviVs2WXyRFFkXWKrin3yT3X9nCCvsGCxtG3rIWdGSGoVcPQBsg8+
RCjxNqaTfHUYZbEkICz4KMx2XAtMS29Q6lQ4u7WlMzfN2CwHB4wiFJeqt89doS7mBmk83eekLPDN
RZoOZ6mhcGXUCEnKa0rTJuMOssdHQB2zcj/QF5m7noc+iVcVfhsSxE00WBVT1AH+R+gBqS/lPgNR
NTH8CGO6UWFSf1W54TxMk2b6lRRKy/drtk9Ok3HQxq4BeKay8/RC6mk2AboSxQ0Dlum50V151YxR
fJahk+4qO0J6nyWZ8mZqoXJ0SPEpd7JtUEsQLa0apOXhstxIEfeopWrtDmJRXNBlJu5tBJPmOwwd
Eyy/GqmH2klz1SurQaHT722Gu72Mje5kO7OOKuC9yP5vW/cPbR3u5xXa/Ndt3c231+ZnOvSvP/Tb
xsT6gLNhDcpjiMvOYf37fhUqvm9MLMFmBPsafnh0R7+Li+jo0K0DsXvv+X7XKaJO/hd9HILpH7sl
FY8e2xtERsgjbVC5a6P3ByX+SsVQZyrJs1Es7hBfFvbFJMJsDFOmc3keRGLOdXFI0LkQK604bO5Z
1D1aQGwP7dKFD3nhhAsDKkNfE8PsW71p7fOUUi5yJpKFtwKRBjbKjbItwfV/MtuiuGkcIVN/0N1+
63ZOcqNPjkH8bwOZfR0vkiQZtx59nHHTRYVF+ajKrTpQy2eZWt5149hfXXCgjCbnKHtu5nE8mkoD
/Xhq7JLV5Rg+92qs6GAeK/eax05xZVUBriZj7O5oE/IOEd3Z0lquqpY3V7KUqf1oXG6XsJsCZTS6
Y1a7xHasW9Jh3Zea76tTduv5Y7/uU8W6WaWR4QhFNzPdyXXzags7/ogYogf/sm5mjXVH68ZCexDv
e9vJToNBNVnmKsycz8264eWIfgIOy9IXtgALYHPdBavrVpgRAitaFsUZRXW7MdbtsbrukdkVMeGh
CGk/k27FolnyGT7l6/bZGSl4lXUj3RQwJMicYE+drxvrtMwch6R09tj6utFWWG2PWUopBC7PX9a9
d0vay14dK9bnKCbP5bofj99X5ZBQ5gcMw/02A8zidUSb3zrN1O7ndc8upDqezXX3jozL+IJPngQJ
V+secPqwpC/WfX2p1x0Kzlh3DlS2/QV0irqVcLPAKuXlvdKpxgOwsu7FWLUAs96iClj1AfaqFKC3
Vm6MBAKjpXZYHlZBARoB9w4Hc/EJY8uw1VblQblqEMZVjYDURQmoJKevcmzbW+qX6pyu+gX3XcqQ
vssa3FXhYLyLHWSjIXxQ3kUQGBuzwFyVESwdEEnYq15iXpUThVoNWwdx0sZxzS88Sp1TuSotTMOq
b0zwSF6/6jCUVZGBXWPa0mQi0xhWxUa9ajfyVcWhrnqOdFV2qLVL1buqPTIrpdRMVw2I8y4HCd+l
IfJdJsKcrj+VQFM5v1CRJKuexIAO60PAwneqFepHGofpzMZehfSFFgUkKbKUqpbDfUPG3wuRL7rF
wqWeTjXpHY/kI1q3a3/TOHW0GwZR3mHM6K46eIMgs4wOvcjAaoPvJB03C8FVj9ZNFs94mkta8FJB
h0VU1MFI0/DATKo5MH1uc3T9mrlswkniiyI0qnjmGKnv5jJf9nB7AHr1hRVgmFIv9IQkfyPtqz0h
EyfgcSlvqYSi2yY2dd+WtvGZYFhkxtzb08c2jNlPTE4/P8C2MUgYLFl1LakW7y07LI79MmBFKRQx
ht6gSGvYlvWs3pKdoWmeYpWkUCnkzD8LrWRWLewqrNHzy5CTJKkXpHjV15zJmoM8opguxiKKmY/G
SjIfdpPyHA1t6wYptOXQy5Vo8o1ESytvAf6ob9EvLEQIsbS913NV+9i0SCcBVxKsKLc5bZo6XZgp
ORM5t0bEMlPf4tSIirUHnAkKYoKAQ+EhbMHW2E+RKOru2hEqNuwptrjbj0vNenDxOictpto3Bxzy
D006Rc6bGWXgfbyYScNoPRX4UaQInJoMta2CICv9Oou61sjz4CNqWPXzcPtvHfAPdQDSwdUV9Nd1
wOVLUn77Ybb7y0/8WgTYuBXWpy3CBKgqPOx56v7mVtA+MLrEeQ3hBADPH4sA8cFESQH25zdtxH+G
u4iPVRbOKClUDVUFMV7/piigzvhxtkuRAdMIRSAo9z+702Yo79z/yrKvQhqdwJovKHz+8G78X1Pa
P12CB4GFvXZND8NT/FPVQfIkt5DuLnsED5tsYRWMQ9KxeUv/857/P66yvtA/1DZIFqfJirkKWJNW
+VxN3zrrn8bN//BCKMz+eAmRQI6uBi7RL/dCvSe2Wi6vf/8q1r/id6/kynrCtAifA0Mapg39Zx8q
IG69HBQHHrRJ9cWjJPKSurovCrmzYrPY/f3V/vThv1/NxZuD78WG5fLTC5oAldGfg82rIhZ9LX8k
hZgCHly5/+8vhRlTgDMC7GP+PKhXW7ue9EnjhcVO9DilRKVFcMUuaofA9u8v9SOM45f3kOJJN1ib
UFm7P31MWmbB2TS4VIlh7pzlXba3mxXVh6V4I6Op2CGwm//td4O3UtcMDDcU2RiJfrqolYSarlS4
MeeMdxEFiMUD0TE3ocIff//6/rTzWC8FbB8HnKnaqK5+/NQy1pJLXSvNvpiJkdzkoUJ9B//zkOlM
tPO8kXf1rLHHzZf40ufos//++uu34ufvqL7m0wDfWGVbP31r4ErXsZpF7d6BDhvYAFk3thyf/v4i
64v4+SI0QaoDiYIj8ueQiYlolrlz9WbfdVLbiTGGBxQJI7zJdXXZLzOy5aGn2mJz3mz//tL/1/fH
wO+hr7nuq4fsx/cXIhuqD3qYPXOoOYDrRbWeKjMeC0XNJY/02NrMcRcGf39ZhG9/vvuZ9pq8WLQl
K1zsp3e2pYVKI5DPhKKWzVslbHUkepqYcjFy6lhhll8NtQjRn/bh0WjVfju1Bh9BOqGtgJe1SyBj
PuvxYmhesrSpj8biXreKwfIZC49nt2GjjgJI9Q3wWluN4LMHpkPEloqiTx+BFE5MUkR6au1BeE5V
fy6c2se2RjhYpQ37npAqhvaxulFYcfiZIuJLXtczAUE9HOOkqU5oT9JDrObipLKHe1EKVOxo2+b4
okrFPjHnZ8egKm0QK9ZwouFD65VNXe6zDOrPvVssT0BAcx+so45YVb7ZeiGOYVIYAXv0wW/FUuxM
vT2DBO2epnI271EcaDulFzlCoSY9sJtHNdxr5rbNOEPFVGsXR0W4A0UFhYM+DVdDdPwlmdOdxYKZ
uSKnbWby22oXAOE8ClOO3ajq4/swHcY3aK7z/bBAf8G8PfE1GNiZKcnybSzt8FNc903qk7m8PNmj
jYYNBPS3pplg/Fit2X1XpDkBr0hBNLh64sTbye7M+4GVD+JC3mDimy7VbOndpuiKGmEvrIcCfvgZ
y4kBh4wQ+SBEFYsjpNUy1oikBvd5qtygPPnWtczrxrnrv6bL9GQu+jcXPdnLBG/XM3sl+dRluCXU
GdMD3Rg3Ujma35auatxNPMpln0pOjDSv+RCscOnoo/n7ionfI51Edixcq30GHyw8GOPiVLCevNTF
GAaG1bA2ZFaHnFxP3zMdfbepmy37BnXHomfBkWLbkeeGcwjBa1ZTD6dcdLRmU9+z2uQC+mLDiky7
HdIH0hisdHggWr1/6JBGe0vjIkTLyH24BxnOkogsnyOpPzgKFQSaA67HW8fl7UQxp4V+0dS6j/oU
8DsG7vQAhqcgsBqaN2TkRAuRgITalUVRdD+Dq3lIS2hIGzQT1i1x5ekuhjW608wmfA3x9GD80ZXw
Rh/dKvSyWIh+3QL0tNOheTvHje7P0Wx7OKXM41w38iwVoV21YhkOtlvbdyG8gR1Da+NOaEV0Hk3r
OSzkck+aZsto1hrUfR9LWz/IBuNg30+0zUg/w1fwErgd6rHqNobSK7tqjp3vZpo535VoxZwp7Xhq
hOa+xpAPgqiXJmZGx1EDpHMuwCV3fT9CvATQo6avOYIa2vxhykm6rNW91mrkyQElO+ck7j2qcPMD
kIIItA1U8ztHlM3OYmX2ydHDgSWVFd8Td6nuB0TuSLv6CUCwSAbSbUzNedMyjDwSOPNNb0zjl4Zk
+0vZR+4tayzjMXe7mc6xdZRgkpp1GuF33DHTWEgWbJy7lMwcomCs8b4hlOBuSuPuZmqlfdYmMV+w
1linrDbKnUZn5yELtx9qFix+t8zLXo4KKeaWqnMBiXeKsCE97O4b7N1IcdQwE5vSti0/wUnENnxU
wQfYXbGJ8yp+kM2QfrUWu91rA4dQphA4yVfD8ifbtbY1Oi+wzVBJfWLHWp+CkjWBaspTPtorib2S
pDoCaYkQWbID4KaJbT91BWtEUS5HftsIZVe1HGdyF08oBWYvt8JEeinRlCnT79Q9AKCxtkzTbV+g
Ez2s9BmQCFOFgn7dyscZMd6lDQPMcwzyDWgQugBMf3NQGjXnZUhn3jKcVgIRrllqupq7yMo63ocJ
AisIV2e6I0dEvmIU6DjGhuw+x96wi1MVyC2nwGdQF0tQDULsOxZl34RaLls9cqyTXmpI8RAMkpP4
v+ydR3PcWLpt/8qNN0cFvBm8STogk96IpDRBUBIF7w4O7K9/C6yqG2KSjxnqcQ+6I7qrJCSAg2O+
b++1lbSm+Flp32neIlzOvST81Xpd/jC143CFLCU7vP7remlbuNpMsQejVOi0hZzhapjT8aolVmfb
u1k1bRnDM08XYiwoJfKxXy+ZzDVx2JDK+3U3UaVCzyXV71km20dnlO2mh0pOhUxg303osl6UmJSp
MBLrbpZj+DU14+qhT4rClx7sKcuawy05i0g9lcUd06jeWh277GBX3TNaGbkH4YatOOpSa+OGmbos
7xmTp+gvPany+MqYKpLQvOSCMlR/oSkSGe+kVWNQwdbWV26tGXvaUhT0VJd0Wnx4Y4ai25bdxiT4
IJBlzQ9WR5LOvSSz7zQ62U+y7eebBMUsJYPCJSybKBH2MzbEqbnuuCwV1vAwzjCzNNH1a/oCyn2d
2AM4sZFX7xrkfleOIfZdbsQ/PY1/O8tTnITCts5C/G1+hLR8Q1eeVlfDftPnICr2oIqzB4hTnl+W
jX23ZLRvLVjRa5f2lh9lHoT0ZbFrPdrGSuqM14PtKFvSiLx15bX0I0IKnYaYzGetaPJtWTPA6TWR
R8eIXjuqia3IVMuXlDV8TwWvvUdGOD8wkCi2xkp0JdPOuyvTol9DKfL8RNSl7wrDfpKcRcG0JXp4
ng8wMNdtUXq+Dhj8mih0ou4VtX/py1D5UsBJRz4gU23jKvY/7ymTY/hrUvmxo2kMOxUR36WV5Mp9
hPPkmh7pdEC12W0Va0y+ko/jomPuxx16XOvR6EDd9EIxH1Orni5Zqexd3MTKZkoSZaOAPQ2cMCTH
ExXqbRUX5ZYUnWKrZCBWXp+6tFBCVmT2XumZulPLEnCjaNMzS1TaqqlIYy87utjI/NXdaFXqmdPE
5baE0r8vJkkoXVNo61GoJh8xeOxDR2bFVehq0V6jC0qxdRnLMyLrG08xiSCh1HA2u8l4STZ1uC3g
DK0XwyGJvhS5rtQmLfb2NNpPXohyQYaqCWwDbeSGBhmvf27mC0Ke5guNBi7lJ88o1uqUxUyBmnYb
K8l35P3jJZMCWvU6LK9IR5g3BLd00Wpq6+lBpZGHbBCw+3bGMLRztMw7zzFerrrMSa+MLKb9Z+jZ
waTSd5YOM2IhZ8BfIOrxqnFalm4nRiRGdpFiIOkhAWujayJMABLG3pa1qd97r/i70GzhwUi0quuS
WI37rhrLXceEwx4IvMgZWjh51dDSxKZv92sIpvPFNGj1oQntBXqkKdOqyUrlHuAnjgBa8+yYTXzL
ec+0QbIhn6a0kI/ObYJNz+0bY0XfsfSlVuYPKnDsbVHPbKu9RPsOHXG6MAs0U+YwqN8nuFG0G5IK
MrfZYoImCxuKtaUfQF7PNwQMOwd7MKetKyeBDVTvwYhNfU1YlmfTJpQ9gLFV2RrzjWqPfPOKAWN+
HfI/7k2loRHiLV2ZTir4FflXr1OD1i5A7SYMWi01/UQ1ZvARoe0PTeIvd3TlxCOYBs+KLzWCsBG9
J8WdPmZiWxE1sp1BjPqc7aVYGdakf5vA/KesDc2d0RuQtLJEOYvC/rpD9oaItYlpAysvbiOdnWaW
T0ZHYHOeTuE5t5FtcpVwi5UVtWLnumLYVjl+kTBMwP6xLzkzEa52eJERzLNDjA/1bGEBj6drvU6q
ddbaxQ9Cin4QtXk16i3a23Eoln1bs6eFriO7Tu6HKp7XwlWigNnK50H0aLrBEUUhxzty7Z6QswtE
RkaF4qZtQnKMF7u7QWiF6kplX1o1Tg+n5n7plJAQ0oF6Y8YuL2BYX9Qlmm+S98qtneQVyloI8j7R
6vG3qOstMB0a8t6pG/stoQzVXW3aOnz2SG0QG+nxWZza9XVZZvUTPhiSKPSpoIFedz/q3rHvHI10
lk3u1tm+66f5oCde5puQuQIyGJDTVVFjXpuumK9TZOl3NZbNbV90zrSm0VNsSE+1t1jtMOCLOPZz
D0AVHEuqcUQsHZDnTYS1yea7J+biTMPZHKClIyKVAJ7IGOodiPcsO2vL72zvta8jx/ELzeukuha6
Vd30TSoUvOLdcB3OQCMlUGE/VeIWGTi0Qb0oVCK80abQyhe8xQ0She90vxqk6riyr0xNpjelJTEw
JJP4agv2V4jpYv0Sdbn8iqrPORBPXz6Gk6OSsQBD4EFdVkhbA0Snxm4cjDDfz+LENS/iopWPCNDI
sZLNcIBY0J+RCZr9kGZKrizB1tWqIo7rmgiX4mfR4n+nG2c+t21aoT5BPHjQMt08x8xGdYXQQViY
fWly1m0xk0z4u74YpVNss9DSslWC9OOyUqaXrHfcJ71yFs/L7JIvn8/Ek+TpOsWig5YwJohGxEXc
rTplHDb2JJjJ0jwN0rrPVzVcKF4vq+1h4lSxqWJjXg0a7PuWRgJqi3slT57GEhZlxCy/omYL5cXD
zpBp9aMwUoN4mZzqhWo6IFcsdsZ+5dnFfZUV1bmcc30vRMhWahsVhPQgYslqt1MCox2UIuC4ZCsv
k8w7hA3YkLXOdh+k0pCWWHeuzymG1CMloR9oKPKcRTG/ZquYPo+aUX1Jm6x5qrt6dPxaQexBTCEc
JoR4VmiBQmZLYyqyvIFkM5TYbZLxWyZsFCMdqM1Dr3cvEMYHQq1c7Xz03BL0UzX/KGvVJpTNITxe
yS7nqkfC1xpK7ktwkeuBV0XGZU2bElWHvKQQGF2mbIaWPGsCvl3Xai5EZIfrVmCy5vv/uYROrUAK
EJTdIU8hh0POB69qu+sMWfLGxEHwQEfUYOFytK1WFuENFrjqO2Wwb2baDt/MabybO701dzRkSRYv
Bw1f3czMTkIhpo8uv8M6iKI3jhtxa6l5W6xDu93Zcaci6u27lcWIRxxVmT5Rh865ntlEjmeic2Ca
eZxNUz36ToO6XZXMhGiIFBSp0ejcc9RhPYm84lsI9GxTR96jOZrDmVprus/fom+asZF3ZmL+JKpU
XPUUtb5HcwgbNhvchOc2pReeNw9+L7BCeIj0fRS5o6C+wkMxQufR6WPzPukr5KUd3SldeOiZSvZU
U2x7O0uxfFpH+jVnkAcm5OxqrGf7QARDu5KDtMnALcPnysvmdS4GlzKhkV7aY4gc1CJQfKUTGBQg
oiZ3rR/K2xIZKTtchXpzQVqUOxU3YaLY106jRsiCbf1Si3vjlwbNbl2lQ70VXRIdQkgPV6U1xue5
lVl35hIwGa0n3HHd1xT0GwnArV8w3W772kCnJ0f1Jgw7G0RB3a0rmVX+hLDrTjLjrroR5Ri+GdUX
eXcPjZFsIyhkByOqJh846rfYK50gjWJWLDaCByZShZB0rz9nK+ccBhOwRxs1GfvfqvxFS6xPNrms
vxtNWn9tXdk1HAGaOPu+JFaqZ1rdhWckO6QbqiUDg63V7ztdAcqoeKj1L5NcRCRGlk0zglSsamvX
lJSR124svMtyEvl9SYrHqrAmz4/xm25qSlj3tt6+jKPs0BixVRGNIQ7qPPxwLE4NVk6CPZsqDklN
D/1Iy9J9kXjagvUIFCSyaBFcC5aA/VBE7I1NOMoBu8KcvC73R6sn3QaxdwihhPUVLQSOF/vZ4Qgy
pvO5JdQb9lA2lTPKRErnaj9MLx/OzMoytnZjUEjJQHNEoRb0nhL+inH6Xluqot+0o/erGU1an3x6
X4A5iniDu6RJYKfgyENH4axwiJLP5Y0dmmS8kbaM+pVbUgH4vBD6vgoKR9RE0W8uoRcwrN7WX43W
sysnof6KbCTHYdp/gWgwB5HN6dZzKOR/frmPmiAGzRYVo5HpvnMNY2ZSNcWduFwrrftGb3xOAGgx
0aGcaLccwQb/7kxgyoD+TnMP28JxZXme/ylqg/YbfrSvRXpi134iVRhXSptrF9SVVN92Z/U5DpcT
5UA97vPb/ah6D4YTcYppfBAqkTmGnIdIxb8LK/LGQi57UUfUST+/ykcPlVe41LBVGp/HTF1zDE1A
x/RgXtshgBupR3rTiJMvrU+8v49uyFTJ+0Z3Ae1saaL+3pXLRmyJExpvIlQbZNtD9c12q2+f386p
axx1dxJL6jZfqwg0XV7MNnY7t7j5/BIfDg7GH/4AhuKiDHt7H56XuoPQJTG1LGAXUafqB70qqZb3
Q/IUk3u0bcpeXYgNiLjxO+9xlJ5q7bz/9GDXE1pObBrWRwbq299gEhtpKJUHM0hDdSIxHpAzlDXn
uZI2ezRS5ebzm37/XLkevACPyVTXnGPHfsPeyp1qowkKsoDOTHu6QSfinJhP3o9FQ8W9BOMLBZLh
vuL6fusMe5EmZ5HlCLgk6La2xnRb1f05Sqh/ABNvSIBv/Eg8nrdNK6xPBlhgdLAW8ehHw8QjoGie
JrcKmNoApSrtGZGz97VIHz5/bB+8Js0xdVXjXTFzmUsH67c7ssHRG55wqmDG5C3yZ6Iw12lWrpMm
PMFnfm+wcrml3y511GzkoIrcBuFt0PUe1TuYdqticKDsj17fbZu+nL9MoHF8nG2h2DQmJT5VNOFX
0sKVrZx1uU1pAfl6y1m6EAZVMAzA5Mq5aY1JaVT2sGbnC1LUqOo1WJY77JJbNldyS9h6Kg9On4+X
Q9VRxiJ+KgenjDsCY+h84kZN7f27o+sG+p4PQDOs464fpB/FIBibZ9rG8tErFjRx795Otp08F3MH
lSTPaaLk4VdBLtbOwRNM48re2zaEJIv2jNbU2VrvvhQhuyOJz7qsiluiFi/mkNNlUWUNhMKBokMC
NCzEZYz9ZqgQPvcwoJRU6dajWZkBDa5hI6Wrr7lOuuEc75xnJlqGNEOMNDJfb7xoWM8OqiST0enx
tHQU4t7cqt8dNNsnFq333VATE6HjaMi6DBZj/WisNWRqTXZTBhTEn5tRPrtxfWUays4oqi3pjdUf
rxykoll8rRprFO3fo+vBbigbI5rKAPvG8mAvBz3bD7Lcf/4JvW+icxk0AssHy1g8ZtyaYxajF8SX
S7vkpq4TQksH90eTfWG7dcHRC4e//i0S5fnnlz3m+SHwWK7LVMQT5fu1j2f5umiww1hAQKtpforB
ckFaMJUbWrpqvuV0yP60sYpwK7MevgMGRbZxpaDDrvd7i36WRWzu3lA7ZadJs1yHlEBX6VT7qBvY
q3npd0vDlDKMFL0yZ442ntRsP8E5tYmI9NYzs127JJOvMpma2UpCt9um/J6NzOsXupvaNYA/DA0j
pApkS/z/YKORN8p06yiO/tAY1qlX8X5+xqQKCAgsNf1RY8HK/D6bIUW0ijIDjqbK5wmBzGoaoGji
6zkxst4vNm+uc4ya7+se7p0Hf9W1FvV8jMkPe+f28xf8fmpeLrKgiXU2lfZrzMZvU7PakCjbmKIM
2Fm5a0j1q1bFa5Thworb6YSy6sOLQVYnUh4S9TsliC0I0CxJ8abSZGMorWa/N+sdtU66BjI58fg+
mghs1jbguejS3sUk5NNELhD1ggBE8o3ekkSphdNjlYsXmaBQiu0TT1L7aFw4bB+9RUCvv+PGz22d
83whUaVodNEz6BrwCTHsdRacTWUoMdbDRq7H2jNuEzWMgymifRdVCSywyM12XmVOXxya3zQiwwid
6udv+sOfx4SI6xg8qHc8MQ5j2ELg8IpgaOoXw4seYr2/yw1OTP/BdSCR0NJFovVOCdP2yhTXVJ6C
ts3rw5TL53JShk3VifvPL/RecsM3yMtl/7n81yte6behawwevUqqjIGkOxq3FHOH8kYAAUld7Sqv
mntCbU9kjHw0gH+75HHGSDqbOdUotQjwjvtY9148M6eNYx9E1Z/YBRofjV+EiOwEIVQtqRNvpxm5
GNzm0SmYZvTpG4iVXwMpWOs+11xQ98B4lVpJMIar5TZplq6aoi01SEF5y+vbRzMd48ewcdug0+nN
od+gox5LcQfms9q4ZZ5jQG7d3egM7oNrMWtCPG0XjXI7Yn8u8mCu9F/qoNO4raCr1Oq3tOouEd7V
WxxfL4lLGkwBTmjbFZN+V9NeWBGMaJ0YTe+fuAE8SkOQyRGUY/zylH57ySF8GVRVE9ucFKRlr3nG
nk3cGJB6hpl1DI0h+NNRRZoL6Rp4YCB88aW8vWBTmX0/1EUVeK7E45pUxbbBCnVuG7X0QzeS5zHt
lHu8ytGJwfX+AzVQqakLG4E3/k5LKSKU3HFnlwGl6+mph233raGHew/fLH3545tEtMXhgvol/zmW
xKF1oIY0dazqvaDTCSdB0IIBIKmkpdiToJ246xbRzETIMY24zy/+wX0uiX42+hYUj+/wDE4WdZSS
yzJowyrxm6G8jyAiLSnE4sTgeX8lQlLYHjsIhh1yopbB9dvgoa7bRnwqecD68DhN5bDRXZT/IjcM
//N7ej9MqR6wzqBzRlX5bptUwwzoInJt0Ap1wwagQ4D38WoYLBt4tv3z84t9dFsGN6az0UUZcjyT
R9C+SpNwiwCpnBEo9USo/IDNeN3mRtaeeIYf3RkGRs6hbHO55PH3gN6LnccyHSjmfWwoj83s/kxH
4z4a7BMlhQ9mPPKbUJ1zaxzhjrfSBbzMqVQQVxl1vjXof3iVRfpL3s/4xPsDrYdTxaWPr+hRWfIW
Pbt7fFo0a8etlis2Wn/IvPq5mrR7Q2QEnMR2DhlCP7Gf/ujVUUcj0Y0dEFc8GpEWmysbJlwWYH9g
bewD08wAFqsnLvPB1lG1ABXC+3YoJhwLpQlGG5OEvzqAGa3cKw423XrkgPv5OPxgAebjUtk7sjoR
b3C0Qo0KKSow2LJAEJi9onq7ztPul1PaN7DbEMm489qYqhOzpP7+4Gu+ThwOpy7AjccnEpxO0kPO
mgWehbV5iQzi6Fpn88XoobwB3Qa5f4I+wv7SzIgNmr2aVrbq+HJson2ONmQHOvl+nqzm1uuybBPV
NWf95ZTfVLp1htTV/uLpgw3/r7VO/PoPX8zCYKfBjwvr+MUgMyIG2OTTpeNUbtPJSw/KSO/i8xfz
4SjDJuEQNKI77ypIhdmwjERVHpTSwQ9c9YGaafeuI08VIZg/39aPeBWevRx+bdumJP12frWc3Cjr
pmQiGiEiZkoYwyZRx93nd/PRDGSzBeDUQI2dZ/f2KnOq6mPUKRmCwBaCjMMyNVqd3LK//N6neIw/
v9xHD49bYv9KDpOK3/Xt5VyZkMQS84lOWfhzeXYisW8KET5+fpmPPp4FA7Skq7G7Ox7GYwtAfa74
ePLEcq+zSaNtHlo/aaBWOxFZ7o8hr9M9otT2xFL10ZzHvpK9M4vv+xom7RAVzG2fEbipX8lSeZ7T
aFeTcZXOd7z9E1f7aMBTxeTAh42XHMyjp5lzj45dt1lQR3XmF8SZ3Ax6qmw+f5hHEUCvmeMqD5Gs
YpOqz7vDntfpY2fRRgvcblAfklitdpDZ0ZimxhJA1TrDl3QJleoq2V81U5ldWrlj+HhvYcxMNUTL
CEes1oRgaAYXjVXXpaeK1dqHT96hYM6XaYDNOvpcRNiqcBQLVpvRpPUnm2dNehUBIm67Txz3EVI8
bkNMlOd5aSQP2dC3+9CrvsWotKDfy0M9FOaeppC3sicy9zzSfk+cOj741tCpsAV1HKys7A/fDv7c
4TckI9vtoZx/1rNGlFONQDrM0aRNz5+/tA8eB0FjfNjWYkBh1/32WroG0ch0JVv7UPup0j/YFCT3
tRMnaMcjSBkLkDyxw/jgo9MoY9kqV1O5yaPltxf5NIqo4vZSUmrJql3rKPHoTYp5ZQAb/NKIodmg
sOqDP79XTcOdQYOJDeLxTGnisU2E21bBUiEkiYUCmchvcBkRdJFFD5NrRX++b+OCS1UfujCk4aM3
ybcyyNZsqkBRo2Y9aT1Ko9KQN0NDCaCwqYt/focfTJtcjz2UwcLGZvHo0RahMOOk4tGOfYQjy4Qi
qTZVszFQuf8nl/KIGnGJZ0ZDf7Qg1A6kwqLkiKZ5VXkNYmheCUfaZ0mnaSemr4/GqMEHtdgKFwfT
0RjtkbmWM4X+oC26+45jr2U1MGd5f0nU3JAhK/989WGCUAn/AlzHDvHotWkj/XO9nctg1md0u85w
KzqxqSnrn7jQBxMzViEgxQaNZFyZy/v87WxUzwOqzpAjYB5Zj9E4+u7c3J8YEgZ/x9H+4M01jsaE
B+oxNQnKDDDpaGQrJfWhtVrrVu9IZSK2uOUpqsPKGkS9ae00+lINAqqLhf6iA1hCL69D4VwmqDdM
kO0KZmkImVMeJIYUByzr8Y3ukW5STn34NaS46BNKh9Qkc6c10vZwH1su5it1HK8tTaC/h+Gi3c5e
gYCy1EDPVkUrfLVvQo8D1BhdgSlhd1gl5L5AwbqKRyf2NdFO+9xCdt0bcXHRK6IP3My7T6qsXfOE
s11B60dQ/HDqAMFxsaqGud6GXWxhAMiG88o0oN8m8Ew/f7wfjU1vceqyJ+L8ctyAzfO6JbekZqjA
a55Jul9J1Xy0auuMQxYBNdNw4rtbXtfx61zsGTgGHU5nx+tXnWqQs3l6QdJ45CrUnah3RJ64kCTC
PFy1izD1j2+RlsfiNvYw4rxbjjx7cgupG3mQeZG5jcVkX5Qxr3QifPQxFSC70SF9//yar3qNo9tE
ewPIW6d6yVp4tExHygTV1s2LwIY6so6Hzr4zY61flwbh6HGV5w+1XhDAbSLZetUpu7HMH4pulluJ
lshXIID8YULo6wYHVQLbxKWgTa7S0UQUjdZchz3FznYO0bMZkblDlWbs2lC0PpROY8VIQT5l5VsP
gOB6ooiD/NrUTuy0jA/m+cUXjhyDACoqc0c/REUaYRcyKfAtpwa1lEXcnBj5fIPAsrTOeF3OXqZI
EvFZgFrPOXVqSkEfNRFxfz0Yg7qbplB9ik2+VF3O6hPfUenHA0MK2wTJMqNn+ehyXyYUmVSz+61p
p/EWwaC5EUopg9gGIjDGnbNxozO9yoy7zCjHKyqaOFEmPoTH2O28Q646X9Vuyk6s5B/dPyUzPOjO
0qE/VoqwP0/zVhrcP/Tguxh/LqFvY/KYaEp84gP/6FKoL9Ea4Eanon60zlGlahqgd0XgVYS+1I27
WHrGOjt4cR49nhj1y3s7HvXLcdFguaNDcLxfKBU77wbSEoOaaHN3BUhjwvExm5of1lW/KZ1cO9Mq
NbyWoz5c6roS3ehS8UDZ57Vfw4D++wz7X3zDCXwDHuLlm/tflMDmWT7/D0BeYjMunwsyKy9f+uef
bLX//v/2P//v//nnj/zDb9A0si3wkrOLAAjF+ss0/i/EaZmy/8U26eRcOAappLr5inOgjflvvKTF
P+Ibx8ls0qzjcP8nxAZc82+HFgUirN822xkDZIMOLYB//ttWI5bm2LNQGRdO2DoPE/7C/WRoioAO
nqubCRR3Q3+hOtjagiqstKaHXE9TcGAW9hHKNudWqHb6E8rn7LJychGfNWMPCk6vG6gvHWFpD0Zv
9rhHC7GREWWhuJ50cDq9i7S7RpeBXy4ue78bJu0Wemz1tezD/grXZog2EgVuB+gBwh1+JDHskoLK
mSPSAhtmhtzWwQnm2x4/cVXH8IiQZFcmcZKTMV6b0+RwXBzR9wfMljO6xiwFLtzliwltyrKfjaM0
V0mElnI1DMV4hV2njfD1h9x7URfLrmRMMmdfTcIE2qt1Y+2DWuGfGq1V64fOxYrYxBaWlwhFI97d
YhoBsvEDK6wMM1HRcFgK40Z3IS94ZhrdzmnGKRdCfA3jVW6GuHCjNUkhvZ+ywQow/5ZY/MxqJvkN
Ld81cKqs3CimGGV9YWT6F1nX0pnBx4cq6ZcBhsOk84tQjwzHdzHyoCcRiToDciPloFTXGSY+cr/n
gva/pI2xN1ut6ojgRLqKuHORF4H+S9xcyWHl1LnZGrd9hmVEIOGAdg+OoMewBNzdW0xDCX7fuooE
nli3dqEIL7vzaG0pcRpehdqk4JOsNLypFjOxzsPsekeet+Cn4k3UqIv8R20HLTzTRZyHqHzafhk4
DnvBMbXmnTLipVtlBYmY/UHKrqsRz0xFKpc86LbtB3g52aAPrfYUhTHu4K+wcaZS/JRDIwtslNk8
5+HfZ9P/TngnJjwikXUWo///hPfwAhyzlL/PeP/8mX9mPEf7y2RLRAwq4cr4Xg3tf2c8x/jL5Ais
LtuVV7A4V/p3AmSWQ/VAUdFhJ2O+Iu3+DfrR/6JDvoB0FgwM1eY/QtYsy/RvKytHK2tByfALuYiJ
lvbt9OeSJDaTSWsFcAlwzccxoLMIN9dvz+T677/vdy3fcjD87SqmS2ufe3zl4iBhPY6XDru+0Y0q
CoEeIMKh3+thih3D6lsp+/EaSZyxzyEJwzieZf3182sv7+vdxSEGEkrMY2OuP7pFeiXkameuF0Sm
V2VMDu2w6UeN61pqdptqevWM66D2Vm2ZGJt2npKXEWkG/iZhG/CctcXOlCa+7FEGGo1CcmRWxThy
0eOv05wQBoxqNam40XzRtU54W2BR2fwHN4F0EB2pR1sDYMnb96QKszYKOXtBA/h1i7ht3hUKBbfE
GaYvjaH261BDjrxVimlxe43118Hr3I1VRRO/L/HGaxs69vVitlypPamZnhfPOwzF+R7xYbajYa7d
F0knd1M5y3SlFGVyolzxbsfIIGBrvtQNUFm+qzC2ptF1E/ANDsj1sBHqTLRfL2Chg/L+/Gkta/bx
cOMoiPCQDrLFqfDtw7KANwP95Eo90t4A+B4vz3abg5BGc6NapOh8fr2jj+h1eFORZ0PCEH+vXtG1
tiwLJed6USJumFFgR+PeP9E3++D50TFGmE0Zi6r1sajSAy/p5vj1AwF9HFBq+qvGXxlkrXv/+e28
8oOOnh+dYnZgfHhs1o4nhTRCvzgwBgN91vL97JBBDQwq8aeJFzcVBnJm+q4tzRsJjLe33HPURRm+
bS28jbtyPiuoREEjWHzZds9Jq9YStV/1GhbpKK/DAykqk58wNr/0ETjztTGrJgEoWF7xqEdchMAm
fUvTJSH0z24fAQYkJ45Kf5c139wle0gU4ggXkbB4nrWUMH7b+YV6SBruLEbqrYYGXrwa9k4Utnul
ERRfslZf2cSnjrlQNlaWixWDNw3yYol+0Wq5y8DDXMIqxo0mS2PTACV41PQsubS8yfzmUEt/tBp7
K7RBv9M8OnsrMeTaWthhfq+rmbfDKocisI/HL3FU6psySiafzYuW9tE3pjNAS9KywNXqFtSIqjpj
dYkDaCb61ojsJFDwxeF9SYptrHMQao3KvRehBa9DSYtNCZRRLhu5HzGhD+uizaI9kp3+qs61ARgW
vN7zwm1yvw+Xo3kPo942cRDZnV3la0lkQZCJKnuQbYkZFUh2WUzKleXV089pmloSYGK5JcjM8K0Q
4xixRiBm5qy2N4ozY4Ug1ucezUbxSIBZ9gsqaQWBRMXJt/ZEXJJhVqnGqirj8clxy2zjFNCJLM/L
9+kEjnFuPPvKzjMoFW5SeiAbk+Gqg6v+ndAV61lt2q0yeimRmtmLkinuhQLREMNREm0VRxzIBuZX
21qzJTNtP/ZKeQmzMFzREh4knH5cnLSdfbVOz5fnualyeht0iCAAV9T9tML4asX2sAI2o+6jrCjO
zbCevih5BkEeZuR8Se0vzDFMwnxUWV/WaTEYvg4zZN/NpvEssMRdg/dvyz00BG+Nedu4z8xdGdeM
iB7tc9cYxnPViGqXxbqyMeqRWJ1KL8WXkty3dYUXkVczpqt2xLI0TN0ujtlFh0W3ZW7r9xLP82qC
ju4uZNCfsHqKjWC7eoON6iIBN7JWyCDY9FHebQg6XiqAslsLVT3UekrtNjLNFVnREUyB6IKqybcY
rkwQS6nehrCTt6mwH6G3P+tFWW4GTPlrJbW9B8nxe2cIoZ07YzccSivzVlWPhwvoMlvhtFHwZ+Nd
dXDBMkV15DoUZbo202o8U9zI87N2LNeT4oZflTqe+DFjuCOih3jgbLEjC7XpGVw90YAsQ4RuRK5N
LOqQJJsusnWfDbByZs0VZk+F6DgxWtNzOrTqTUcbzV2VE2qAFcT6mmBNlTektVpzNk2auY/LMQ80
I1EDp+JzsZWpguPjNdB1sGCB2ycdKyZ5S4KqHtW0/CF6M3pKQ637aWO9fzJ6MRwK1+33We8RehjV
eGdVpfYbmYVrzoD9vtP4vrDg1qsOgWdkkNPltNq+TDxnbujfIW4v1KhYKNvwhXq13CGPiPfgv+qt
CVZknU5duPKMLvE1ROLnyVjhklQLuWBEy/OFs1NvEntsDl6tZhtYHJOv2EgKmpZCL3il6VcvxVBd
qlOUbyg59/hdwGCLSs82r2XBJGLl0GZKKLra1Vu1B4fFHYuDY5OCPFCF3uixOp3NUm0fZ28wr7AA
qZdTouK2zUKE+CuVgsuLltJB8XLgYVOaih+xM0Y7u0qchziR5XlJmfBeUdlf5FUdX2X0CtchjgfW
i0FdEdmW8uuAICFkQWwDwdPObgHZN09pamSbDHffJlHYFypWPfkEMhv7wWyyHY7Q7qGSbb5vEqv9
OSuxSj6XydwjFtZ3zfbLzqvwMHsmv2sy6ksjhkHgtIKVazAcbY1BDyZptZgiMQpsZzhBV0sS4sbq
DH3b4LDYIr2LrmZIGe0qM2f+jO7l7WOE0onztsEvyTpP9fseCUmokKaykpwso7XMUmtreLF1pTEx
rOeyTfxa6nOgpvgsAPqHB/YqFkm1trdiHykOvc141Yx4+sUeuH9IesG8XunNIUV5A+sUFa+vgQzy
w1KxzqSolNuJC8QbhUCs1Rw6DT8b6s+3AWBAtArtWN6qDvHtIRK2W6HqzYbys/aEK4AQLrBMTt9U
fgspagAXoBpn1qj6smFSgJRi0D5ozF0dN+O+yPRFyJnGu8oI421Vdvcw1vX1IFFBW9lgbZ1EvRZh
6fVQ+aPeF3U/xT6P38l+CEiL8TnhMk3PaLbkSo5lN61kASZNGAT7nXthAVfeHCfqDKWrm/HlOOhj
Mf+3Qvd3Te3EgZVyGwzTTw6sly/D/wTPRd3GiXj5/dj6z5/899iq/mXTMeXMRiuanei/kFX9L4sN
E/0OqszIxH7Ppv1/7J3XluzGtWx/5fwAOGAS7rVQvtpV2939grG5DZDwLgEkvv5MtEQdkbySLt/1
Rg6yXVUByBUrIib97Kvdimly7Wn/HHT/b2Rl8uV/x0L66cdy/opm96fT9tqyysJzNcBwyv/jKCQM
b07aAL0kr3jMOQvrOiiWr//0ovw/JtY/HbbXH0Kyk/mYv/NPkZYBHEAThmxzVG7Te+b3yzb16fGj
ZWnY/fsfhZb5+2mFH0WOhcZagc/5T47JuqTyOUs4Gs+jpJ+lkPkFdyyc1hqyfJHI4Uj20zjMiyso
KNP1f/jxf3o5sWAxKLExWDfyK97sd8dgu1gCd/Ls9phV0zP9gG8BZV3//i/80zy2/gg4R9Rr8b79
yU7EeUsrM7bao2tNz7PrvNKThN0FAxCh7vbHv/9hzJR/fEED+mu4rwkc/p9W/9//RQ4dId4c9v1R
TCBuOL9ZkIVDozznLm3XxSheRDy10GiSdjBpIIANCMg3ZPYocxowt1TTy41vJwDm0yygiWTywzIC
wRa20VwUCSb2PgQMabdWg808DTcdrf0nOyudX+0MWOLYDz8rETD9dINpU/IVNpGhQ+g9OdUrd2mr
oOVy4NkqU8+vOou7G+klU4LNY42KC1wQz57LGkXqldJB1O8aJ7V77w5V/ui5xieqrCTeNyR3akRQ
oQ8bNHOgSDSZbrtH01lOeZDcqswYyZaVP4VfPNZSfPOW4MqzhEovQrfnxpw/EvCO/IjMo+IJjGVJ
Tdo2B+t0yFuXKg+QS26fTT+6NGxPfpbes+2HVwYneCdsDqNU3nt3M/pKFBpefEaEffUNKz5nnASi
tvch+47jD8czwueZh+JWW1l2t4Rt8jzAocSGSU9/OCZbH3VoAyhkJIZZxLvMnNPbquehm8YbMw70
dHETzgmcUQyI7cmkaXuj01vNe1n74XPrj8E2ZVuwIqj8m+azj6BqrNjaV3PXeS+i8o23NB+7+6q2
+D7QtuxnHG7jpeikOqIlsO/vOmro7NZNL1QMdrd1Ybo7an5Yok8hH5GyzR7amq4hkL/WbtTK3o+y
MF9FzaCiR1ipRipt9a44LlFob2rrBp5K8izTdtlVkk6r2CvFlrZCSJaTtEIomTwRwcB112apugdI
rTdxqJ13bMzDs1AObiwjtW6t2fFI9fJZaBdKRxmE5kPFkJLmnUs1ilQJvDRnPopehlfTS7KD4TTd
2rtVP3AU3dq90rcJXKc2CpvC3FNJ0r7Xnkvrj/Q4MlizKw9dKNRFxisKekm9B+n3ewo863ITD/gj
Qiv5yFSenviyN1w0Z1HG62JkujY6x77G09wYM+Mgyoom0h4Ohkw5yY8qma5GTImIvR69LbMpjrok
u+A2PQfzzzO6mbj1ffl5clcJqsOGMg3z6sSt/tqvh/yCi+aGlibI4OsI4Mwh+NSCXvptRtRtn8et
v20/54bkc4YIDZpK4NrG+3gdMeZ12AjygXjfOoAkcTxd5izLaAxlPPHWQaVfR5YyLyn3ESZUilgx
0KyjjYOSd17sdO1scQKO2IxA2IgywAzM7p6ffnVi5y1cB6ZkHZ1wp5lHe3Q+qCC6IUic0MJpig3I
DK5tYraDqBX9goxjC20x23gd0drASiMKEW+Nvm0wJ8fFtmqX70w+sN3oBoZFGCfjKTYSxbLavM7M
gsM6FJJyBXlGw+Vhyfm2JH3al84y/JLb02SwkmW4VHbtfO3XgbNeR89+3nNOdp5dtwmjysq76lT5
Y/+gjMb5yn07OMl1kDUtgGDzOtymKUgzKl2a5S7+nH7B9+mXGpL0DTek5WTNIYsc233v1sHZXkfo
KYjrCJHH3vYmaDkK+tJ14C5Hc2T2TkpKliGa3fVlcCpG+yUvacC1Y6uKkqA7C2qrtstiAGJfx3pK
6MhRMugvTPy+ssVXCiQbFlgOQgY8FBhoq0jALcG7l6twQCt7cfJWMcEJaHjB7DJ9qUGRbDgN8ZPh
dKNAFB4XEAUcc/YzhAPxhiBiPserbOEsNEk6BcheC6EHgcstnIO/Sh1exafZYpn+nQ2XcZ+vkggO
F1DdfvbqpmRQdShRTlqaViiVmxnmsCfDRkdiUavYUjgS3QU4yQiTIzCOGJbXylb/m285dJaNIe97
u8o3QRb4KzmcftlV3OlsoWnJ1fLIlIwmtopAapWDakylR3eViDyJU5eSwOQjcHflKiMVOuXlX6Ul
VNASVHYYgDbRxbMTJCDdTQsSkzHk9pNAofJWqYrUjfiYIVrfoXovbz2KVv2pbWWrzKU+Ba9V+hpW
EUyscljh8SHj4fmzWqWyeBXNvFU+4/k4ncZVUgvbGX/tZbDIYFEmUfTqb+eK/26l/uMh/zM6/q+3
Uush//bHLL/Vvz/hf37Zb6t4E/YBdlp6Pji3r+f8f5zywd+CRXA8U3Bu+6To/mMx5fh8Ecd4SvrW
xTnq8P9t5q1fiKoQ0yV17K/5n+CvnPLdP5xLzTWEy6mYaB07fnrC/+B0aum4olulym46m8zZV+L8
PKIr4Q9iZ6Yh6ufGmXiQadYJdV8apxo8vNvR6exXx3qSNL8Yvf7eOYkCK2M2LrXRelwuc+X5P7hK
fZQUHw59Sw4h8fLeo+J90uLJgFET0Ng4Kttu+u8FRb7FBkGF4/uOzWqWhvemNKgCH2uFoL1rvKFr
9JMDCnaIvGkczPfCmQpJG5EwbCQ3cLJVeZaBQVtxAGPdHik4otI5WdycmidvBKoSPKW2v9QT3YqY
e7jKSzFwHM3oQO2fexzl1i6ADVSYb2Axh0UdqmYMqD7qTaoVLtKSaFiL2X5LDVoF/bbRD65dVH60
6CnjSzFkLx/YYHz5X0r1/9+UzSYOI8m/vgDv8+JrWpe/d8L87Yv+fvmFguUv3kGi7eRCf0cyoWuP
i8zzaDawP68jLo2/74U/Lz/y/b+RrX8zxThM66sRC78M5mlG7b906bnspP95JOX65wrH9762OhDK
/uMCrRvzoJrRz89iMOD1iGI/pOPAJDEESPtVWp/cEL/HZuBi4bIA8Wu8pIObcbl4NqLlbHQcaKOy
pOiYNnloUs9Kt8WFA5jMHgav6j7GTvrvlEdXsH2T4jJMmb0NDVbArSlleeb4xvMkD0c2JBnaZ9Ma
+GLSpr7l3N0sh1IDm59w6SVLajd7MI1d+D5K7QTHwFwLGIdWe1/GaVbBg7ZhXPq1TG8yu+b24XDN
VVEIUEp+HQcj/aI6auyONfsOwia9yoEiumY6JHujKE0RKROhcKaqhRbs6Y6IFA7EPQ/2pbmr+54/
N537jgb6SmciPnL4pQxjV9atychZcX8LgNLbMU66ba78Mr4L7CUGqh0XvJ4tILZSTW0Us/idtmoc
0RytNLbMb9OEl3vZ5al0kU1zpiFuCVVWx3lUKgiPeuOpCgwkKppRRvMQCo5qGFBbfJUwsYA65x41
nU3UJY1NZmjDuAS19fsSs5hwacct2Q2zIWAuZNoVY0LL3hx3d35JB6g5MY+YtKRuYDU7m2kU3I76
tDpRnjQeErw/T7nhwVZ2ehOiKjyqK7Rud++xIfrqNxmTWqEK3M46pQK3ZyYNyvwGMKhzqHtRnlgd
qkNejS1Lqqr2KJYt1CkYgW+qlHmrpArY8dLk3rXDivbMApI2vKYt3S0Ouya2U/0SxteunMo3BNKB
+piYou3FGJt7+pxf8rpMrggB/cOUjv61aPLxHaPRvE1ChtOuSecrn4d6r8davnLYih8Ku9Zvedqs
SqeiOjr2IZROlvTv4KDHr2kzO8c59QyItPE8bPrOCPej3zk3MQu9A5UzctlaPg3Ar3gh3Y0fF95L
61nVU6/nnPVinOIFd7PWmSNZdv4cUVmynKrO9rxNOPTlTqlqOE3z0h2mgtQFlXvOJYS/3Wysxp2e
RWhh2gqabq3XA2P205oEKVDUZxeeKolldl01TgWe6A/QyP1TN7nPGaNRnynhbIQzA7bVDYNIJpei
ojRHjfeKmNXFmuf6iI9bbYZM817jDuuuaeFVrx3LGrZQfvMr+5E3i773aCiC4Mw7Xe6omhJgFBo6
eXQxX9l4pedKzN1zwpr3i3KWstyH02x/y+rOvADNpmuobR2yRcUc7qku+4GeEh8tFwx4Sn0+76Cf
PYV5oL6YXla86XyRb840SDdy2yB/a3nkb6ecK8wzBozxlOzsQnIke9l4l6nOWHIGsjhknaPvK9y+
52nuGU4qnWcNh/3QuLfozqRSnWc4PAVTPlRxNjMeNnMX1YyOfIoTPKxuMBcbORjUFRstPItJNdEU
08HJ6zJsfKaBKDHMCITgdK5NWrxwXtuvwjec+8HoXuTSPWWN4X+nsBqqOOIGayaX9YOLI3DJnnHG
CbjBtAGbg2g28OHjrS+TUyh6nw7mruXSUP0TgIdi63Zm/c1TkNWaaakfnDhcfm2nums3Fl41VJup
uSSgK16SVLiR164Z5KlsNRNUmNyS9VHvgwsmkIrhKM5LkwWtZS3gKLqzkk3ytSfU/KOYOKX0Y3tj
q3jaud40wzdRzhc7jeXRoaYmQJeZ9A0xSjqrco85bxhsEl65SHGmtTMw7Bp/8QbLZ33Ns75vo2aw
wl2hZutu7CXb3iJe9/9pOWXz0U6H+bGeRB9EeTI5T+MQB7/mE/4JWsyV7USYHMIdooh+FEYc3NRj
5X5VVIJfQi/uvI0eLO5zysTfmFhVzLItSBk9JwEXj4jTs7aM/s5nV6Spp3emLQ4AppVeIl2UwSg3
jbaCGwPXz10vSVmEk1tHgzlTVxRUj9bkrU7GmF4fKIRRkjHQuHS1sSkR840x2DIKcf19E3Xn/qwN
8V02rX1jMUMPkW5pwAWSu2u7zOAiN/LbaU6D29DJ8xtCf162yZZvKZuZTWtS9Crm+aU2uycIeGYU
WPjiq5gZVSov3Uu02oMpl/DaWl29Mzw7pcy2n/pjYqR3BfXLe6FkvO2qzuJM6IpDBuBxz/X+LSNl
/NjaGBBTiPDPiY+H0Uq75jxlcFuox3WLW7dGn3L7arytKzM5UhiCn9orveFAIq6+8snFQWCG04PU
dfcd1rPBjN5YBcceEbzi7RdnfkOEJUjweBAaNjpF7pYPZWy4+8KmG9kCKBmZPW2/ujfljdElPhUe
VX0Y1EzDv5qHd7tD6yyCmnI3P/8YeuvXbG39Wng83oxTmUBBBIpC2zNSbdXX+XYu8Rjga+1/WtAv
doo256fMxL6AhElV91pTIwLqQJzOiJ/ojejvPNMHiRI6Lb8FkRlEJIdu0IWS9A3qZRAZXWqcJnXp
pEgjt5p+pUu++GjnSe2TKci/lwEtuXoxeV+D4CMNih9dLvuTY/C4N33i2a3LP8WuD9uAhocjAr55
MrNCbEdp2Xt7kNbN0hjZN/oIsWEVnz3itLjSe15cs6FwznafyT0m4PakOJDsFDr00RE15fAzJy8a
wdxDbqfjRZY1KZZibtYEoGFsTbIEtPXU486hzP7b4E4y4nd/Rgu0IkWf7XFipRdJ93YRU3OsRAnL
vAntfW2531qzuSpFqx7ppXU5vxy4RRsb7RhfLCn0huJeSTXEwgmjML1dbtZ3ftOBaSPN0beHZSpp
Yy1zQnRp9RggJJwz7Lp7bNTBpiU/Br2oog+Z9vJ+KZJ9LIpbpzSMRzA006HwVHgUOku2i1Nejbyi
ZFmmezDUWPpro4q8Ql/pw7O28HKLQw9/lKgSiFKR1MHGTeETVaMDkNvwnXsDw/+Ge7v/PAjMQkuG
9kTT1g967CE0aIR9CVVlY0uw8+huKc8DRxHytcJvstQtNVx8/OreOHq4wK+eMQY8jJd0M7rKQphu
1GkGac5qJMGeJJfgXA76Sij6Q8T+y+eA8F8x4z+IGWvXCga9fz1Lvf3oh/95lV0iK/m7gervX/nb
xtLHF0vSP2SqYqiiXeIfekZg/+JxUCThTcj17wvN34y27DnXuhKfiiZvxUTjHv1tqPJ/wWXrrTa4
TzQkwOm/AIz2Avf3Q5VgTPfplwQ3SQqC3/IPi7ZEi6nAbZOe+tJXlzqoOMpWaAz0WrIVKMTAJJEr
x3rsLa7FMkF2kDOFy6Y1HfO0MzIeisrfd0PYPRFyNXCKFOGrDIbigB6yCswqXGVBFkCAWIc8opbP
PfXx4nd7lal4waMuJk6bVLa5GzC23nYMcXy4TTkfAbWfqyBXVCjqpGOhFCQvVtWHMZcCdfqhl30J
p+nV6ovYQyDv9csyjEvEn6T3cjTMLbXz6koHo3Ue6krCz6n6aTfERoEJxYjbR1e38oYvsRqsn/54
aGrjKuMm67cphve1pQNQyATMEgqb+bZ03XjJHFM/ozc7e9316QNUG6+lmnH9ywtEx51denILS7bY
MxKPtLjTM/MEUM7d284MFKvnP/usYi6hJV/qvHY3STCMtwG4kGAshshozXqbsNdLOB6I4SknkfCA
d59tm3BgedVeJ6x9TVXmRhSBsWxDRRYz8Eexs5vRIudORy6/c04YYhCRqFkS2YZPIeXsvFHe0Rwt
Zk5faJwcKr1PgmUctrbmNr2lidyOBIAoWtCTReBm6kZCipU3bAJvGTZxORxp1xteRI/DZtPA4tkZ
o91xs9ZOSQ6gcnk/XHXD0/I4ZOa7zBgvFX8Lhf3Da1xp8xxO3Qvzl4hCbVYfq1R2ttLGpxcroI4a
Gh9dru62yJLksRcMktvRrwuIpWV7V1TkXniVy9QHtFN7uBB77wFYYrw1WIO/x5TsX3VbZzs38eYb
vTQ/SEImmtP24u0oxk8eoJz05znE9Zh5TkSDzwyELecRZnnxVlVGfLWc4UvS11UEhS0/pSCPk8s0
mMV4ncOkbr92SdJ/mFOrfspstK5eSXh09aY/5d4acHHhUbocNr1oGKld2dCL1d0q2/yYZqHujIZu
MHsyf4iqxIw51T0bnapFmBZqU0jHvCdIaa01qjp4D5JUPS+GqqEYxMXOYwejoqVUqjyaQrnZPvbq
qoiKapo+0gRn2Zajh8TybbQrWI2sJ2KftncuKLydXNHXqINLEeVmat40LYaJaLZ0fB0b+2Fyrfel
D9/NjnwiHV+7zjfL5hh6kpWMwILWHUYSNgeTVdgbbjsa3JofJmdzvSEvQ0s8toijW4xjcJ8WDBBV
CAcpSz37mHDPeeQ7JBvf6dO7vpUXjA3Taabmn1WGJ9I5Ukk/2bd92C/JIYipG8DV1LyXUKXxDKHt
8yv1exZLYCMUxU1dmze39MmDChy9ea/M8KCFk57yfBnbq73YQXlUsQWNGbh0dskdk8Ff9vClN7NZ
u7e968Q736nTU1rG1g6IwbTxfI4vVuMFb6Jj60dr5gVl0lgLbdJDzs6MLalt7N1Yj4wUetpXIgNX
ORf5F6wDeltm7XRhybsXFdvaJl7LSYKe+s28y9wrolyOJpuPG49kURSMWAszNrfnLHcWev5UcxhZ
k0YjMLnbaXQnXgFwU88tu96TOwTd7WwOxuuUbFNVXFB+km1ZEAoiDF4Hu9lwyn3WXKAEfbHj2dvW
XW+f5iVeaBvtm0vhmvWt9dlb6AoD9AAlA7aJvQyTyQk1JuBO1bVX+oad58AN2Pt5DFWpa6VTpJtF
H2Ijrv0oLPL8fcmYyAUNeBdqRTDkd+MHuy4G1FEhRnHk7PZrWxUcoPGuWBL9EzMzMxYksn3qJlBb
fNmoA8WK3wSbwXVZGeab1GOhX2P+O8WlLqIafuWNLNQHDxZvT9n9eKyWdloHttpYNkMzTYzVpRy+
2RVPm50vfGCRZYz0kVhPCUlkJsQSBRrnGV6BIDsUPpGvdOmOCAPmhtKJYMfeWkdWZYxH8E8cj4m5
R3HIKhnKD7xNPzAv3oDCxRM72PeNad8osHwI9b7czXbxGHsLG7A+8Q9TE7ITjTv5k40AkEyN/WMD
8VsQxh/p9Hfs9tSGsAPJsOTt1pydhw6jiVHPNpl7LtHbFGLMnTRnZs+iMeAq5OHWtaV1JiQQ7yfV
XmbwwCT85v67W3dzlFAwu8uIs98MDg7XRYn01C3hrwBbylPiMhyF7GVVPv1alnBTTEtbKDk8bpjn
TkHXJ0c1Fc62jIM7iuwesVM7d05pU1QLLOc6CVnuO+bVRGePyuyN65RmDzOv6zmeXZursbiDab7A
ucwhI8wk9TBQjr23d5e+YxoPE+AToxqiDkfdi8ghpRAJn8RjC0zCOy/ZoNUtE1hS72yenB0n4dlp
yOI7Okk3Yqq1yWqTivxdGofN8lRKMzS+TL096630/QB+ldszyJGHI4CIkFUUYucPzH7HxpVPrt95
2XYZF44yPbPh3ZjTdc5EaDkbmx07iASrK3/oGofBxlRLe2/X9CtvGzpN3hxImW9lbc5nHybZRbVV
f2hp4xzAjPgzjag6H894PiZu/QVUPRbSA+YBc2E9wh0zQH/8qrMgw6+jQKyYoXI2ru2Xj8Gi5Lk0
y36L7r7DfTXtNeiU760NBrIfJveh10G7n4LWwss84OQpK26veevwAuU6n/epmSSvQsfN1s+w33ZN
3nPoKB1xlN0iRoBgrsLCrizqgj0HR2VNPOfSNapMd4PdNVDgbK1wvPLkMvduz7NtE+g0gCDpo5kC
HUrPEEgrZqCgH9XJTLW6FGluED5oUfVMIqXMa44I7y3X8AbAHksr97nbhiCpcCptU0fBjCVP+N67
WWqRdTSzKyCN9jELMyQa2gloZrdIq/cynvcd22bq/9J5hOs1jyYbrc7vN36nh7eCRvltjCXrpsyC
0oUAOesviyPF3uvdgzPE2IrkMqCnBBWb9DaXAGegPh0Ticd8Y0Dq2FE+Xt4JTU3GegJqqe+kO/QE
q8V8Q8nJoqShUzZCj2FGb7SoRj4uYJVkNwxfuHkvQFB771KH1q+CsZoLmx5TtDMVtwgLmKQAZ+Tp
bhpUpkn1u3Y0DN7SRMJLy/uq7QO8vXmqdoOb3iKWNqg65XAzKd89eWnQaOoRAvfaF53Kd71bFQdR
ed0u5E07B6qHhFtUQn+f4yD9CDlzv9ja8y+xSCsvknr0SW9yNNvGiZWEtyWb08jW/pehdPo3jd0W
S7Mr9oWBD9ieXRPoi166qIdK+e40YpyiHtmWNaXPfaCww1tYYPoHUFRsw/BUv3I/lWc5GSgNGNe+
jGPea3wFpR/vjVamZCDMhXpzPLRkswbnUVm1s+p0DK7az3cQo8JDOOPFcudxvCz+ON1hrp0eex+f
Caa+OcpclMg6b9Kvup3mFoRVLfaWhEiwaaym27X2OERlPaPmx0OL2pR6e3s0/e82mbGbppfLXdAu
zVMzsc+CKEf0qB6s/jmszOJLYplFghU5C8+1TuKz9AvzbDZxS627217MNvHwVQxTNGEdP9msKXfG
4hqYYkSz05VvcfZHZHDdmNiDP6Q5t+ay2k8eI3tWGNVpNjmLN5BXnmvKMUEPdlRZtBmx5S7dZCAR
7zK6cS7cJMYtFyAXiz+u7gfufE7eySg12maXrw43LawShtqo281arsKJQWSXRnJGYc8DpyEcim9p
7rlw74sUWjRNdTjq6+m7VyLkRU0Rzrejbc/OfupEvf/v/P/ZDPCf5n9LrPiOfz3/P4EpS/8n+trV
hax+LwD87Ut/EwCCXzgJMa3TioKN9Z9cy4HzC5VmrvlPi9Pf9qnuLzZ5SlIhOIoFe0BEg9/GfzoI
OEu7VDmyW0VQEH9l/Mft+ofxH5iK6cIl43t6jgUa4feuVAid0IIyuXZQ+da0C/F/TlFFOOSQ4gDY
E88UKqqSLLiG0uEkZyOH3E2wbLdjkQYB9nllPWexdN7YtOiH2rOrJ04C8Qfm4vmhWeDXHf1pcY9N
5yAj04DtXohR1Fs/r+o5muYc4BrrXGxNKdtf54bAe3qXW7UB4Vu4zpnHc9Hu2lAmVFZpcJBRjhRN
3zIL2J99ycBDrEeLfW704j61svkhT2Oxnq5GY2e2hnPuYl2VG3bXFfMZJK30NM59sxlrqnFsrI5N
NNixc1Kl45ynJXBO4SxpiJ6Ldnw3S36pbVvGww9+ChzlTlT4sCiBAp8aNNwI+caF3oXadU5zzP2b
9eZQM24Yk3uUNJX4O2KE5U/JGw7e3V0TrxzvdxAd4++L5xI3ya2pf2sWANPkUeb+TbDEeasmUsBh
bs4P8UweZFJx9dz0QX0/9N2oL3M7Jy6CtQ1DLE590jZFWQDBNq22NjdL2gTXOef3aj0YsRsSkDEP
Lodn7oaSa/+6AOb9sJIgeIiLGr4D+z3T2sZ0olUEaKZ67wcMZy77urkpm/vcasMHF+8+u2oRusee
128/1i2cUE+ivKbpdJMqZNw5HcsSebeqnyyrDa6G4NOS5Yw8IX1tOMYJuVJ7Zj2vCMyTZK93Bq1H
Z7Ty6/u8a0fjaRGl5vidWWcWC1PUFrkSHPdst6dOtxz4my1n71QS+PFStu+dqu23xmT+i8KlJVPo
JqRwqM8JdjAEeZQEkw6vc8O5UmsRPtmdTK6zs8zJLpzZllJ65XwwNPVreNBw7e2QGtPXYMk5i/dW
eNM0QJT2Spt4S+eskkciLsNyUkrbZEVjZdwAteVhOnHE2yHPBFW66Z2VBZtCSpvgfzDDMji4LFvw
iD40gcEp1Oo876WytLhNWWIw7TmFYJkRcDYFxeBZ3eIcElybCF1GBoVNbwxeCFBLLqn49xZBBaNc
yH4e+6QT8/6sRx7UPdVOO2pxgn1CPtxWx7jGmHwevEaZp6JttXxD2QuHM6YNl609H58vfpwYT2z4
+sjO41u/LFH1x6F/S9vyLg6d5KZQsMu+Zfi7R3tjgwQRxjkpTb/a+jRuvLiOiSq/aDJY9AhBhdX5
3vT418ExyUQtyfQqWVBtjTCtb/ssBZHSDI+ZstjAF43tbfzMtgIyO+n06nlk/o5c3sZzlTgx+n+H
uYAxFVq9GaDRoScxM+bkulh69cl3t+J3OGoUSbVao9RWg9ki0mdmp1qZ7laH1WO9BDcD+8wTck3P
nqyez2uz2M6noGInhhSicj0foHAZIHO50xRxF7XxcpgD4kla2tZGN4N/x8L8aQCet/WT6RAMmftq
dZR9Z0qpzcLYdz8F5qNFC9Vm7CDaGT1+YNJjWLYKtoFB47FxqHrOX251Maum/0Gx2h1HqPgdj+J0
BMZRPFXM4vfZiCqE73FB3uvHB0tRWdXW7CEnmeqD8JY7CR/8UAhzxR32xV5bbPJng6+yGBM4vQKx
2+bB8l7HnIsQlO6XprsdJgKBOC7GCDtyd2jjCt6gZ5i37N6me6/HpyD7+teQu+2hklawk7GO9zWD
CAtAt+fUThiDiKOMUHmMc1ZK66IL1BDlJx81eFrgI6kESKKrrR0yBhdD3b1h6Z6OZpkML5nqaMbE
nXlIuvmn6rzioNNM74gGWs+jZccfTu4ypc9xKk5eJkrEBTqUTyR/J+qtS0E9Vis5Q4fYNWhJoQe9
Ubk4B4i50WwY/lU1gE/lwqMpKwm6DTCL+FR4i8/Bs63Y57G6z3ZBKwdWPm38GgJh4YQPiIVnb4r9
PyDIiyDLNp52mS+NX5R7S1ECGUs72AM2DQ/1MjbvDRUvbyzrgB8hR0U1vZ93uF3qC8fYDlBhGVyB
z1a3vTcb9DEkr37SsuWmqYf9Xb94dx3G4nnDsjG3zu6cJTdhXlJQmlRuGxWDVH6U00shNy0MpK2Y
2N+6WLSj0baY0hlcNkuZrgDJhjIEv46Dg9/4+ZllZrHtGhaULd6m16EhLMknrmq3UrGRN53u0Yuz
+joTo7xzYEltAxzvnir4GAgY23B70QOhZNoE4jZjL4xTh/fhh4Mx5ocqV45t6pRLxGZ8cnkOevpc
McU6JOpad+u50nqpUzU+IugE32fMirsmbIObNrY/jBC1VFbJF9rasDhr6m964b5UwjVuuaZgKjlI
Y6PFfW7RbfySdOIwO9lH7KlvAcmHw1KLgXQhxipH6i961CEwm9re+n73tS3xkY+Oecrxa+w6y25+
JLFPCjAzasrrnewI57SqI3vRYkcsy3oomHx3eT/l18ry7qqEcGi5dGpXDjY7VTthXxpNaQf8ske1
QQUZ4l1T9t9Vlj7restRivOFXPAST1TlHn2LcApRWzbo4XpzZb5YDzNtEA2iw3XGU25HuFx+tfP8
2bA9PERYuz/wVspjLQP/R2d1j7g2fxLvgBQkiUMY/ntVWCaL3EEe5tz0z6GOl5vGVJiiHFISyUKP
YKjOU4V4jT+o2WHYzGl3G51jNuvy5IzNydUsPTPPepH/y96Z7baNJWH4VRp9PRS4LwN0AyPJS7zH
dpJJbgjFVpOUuJMSl6efj6SUSLTjLDSmhcHwLpFcOiwe1qn1/6kGXPjseUqrunQMPCNc7IvcnTCR
csLgd3wW5eWdWsMZLNVuSNtTM+KyqB9z/M9JrqyiO9ssAa2jcMogRkC+E2yfNeFelI+rMAuOIa0i
/y+YD7Yj/1tiwP+jmGjKNWQRBN0EuYmUs6+0h0AOpDdevcqOYteLz+NwHZFikedGUECOLD1m5jJx
qRj4kG1Rqjk1Y5thcxXmZy+BX2dt6vAnR4VxCxc4yVC/WByTGC2v5dCwmf6MzlIeOoQ1J+AZX7lV
pk7g7WKLSqYzrdxSnqbSQrpS4sW7ElSAWxtMvJO48MibGHIY3a7cJttOVsVYE/vR0DVWOdIvSKjr
oG3W73MAVxpnM5HCa6JCGA8L6xw6oL80zzlN5IBON0G8tovsuva9MR362STNjPEiDj6lPqmyOivv
i2x1E0s5bTkhnO3YUwTT/Z8Dq1VVqyU+4Apq1YYtmRY9yG41xdMahlRVuwgXpnmhB0k4oS5BLseg
91hYBvUNKcxlB7v+/8LvDwR+LxZ+u8BvOltG+ZOwjz/cNtLqI8hG4WBhvFRj5q9pVt1CyonqSNQp
vKqapVIcbmYbt3VfbWSBc2+ZClOefXwlRrHpotUbzqkmkvyZuI8p2v24D3YPokcRpBGKz02s2YMZ
sUgd5badCOeqKq3f0u8eHNUq7NOBXy+PDDAyyCau5Vu4AdcgJpAKkzC6b0yJIp2zjIr7irjtXMno
9paS3Dxd0kmlAR2+COHEk5hi0kP3aJk7t06sMJgB0ZetkoJV1fB9sVreFDL2fFk49LrQRzKGraUE
bE21yGY2EyzqknmnRPXlO8A13HEcyzSNKw65vGKd3YcMnI8zOu6nFS2yj6KwGlem8m5B/keJaV01
7NXbyqpwMpkKO0kKTQ3HymIV3HqLenUWxSYjXgaNw+MyCaDKVmpvuvBD6oWFbrwJHFBzF4s6Z+iH
gkKerbAey6jWpw7qvEp1GBzGBUnY6bokNhobZaIQWohhdVqLqXgkxipulpZoF2Jqnvq+fBuLDJQq
uSVdBkvpPLTLYLooKaI4JuAGS5dJqiQx7eNcjIMJGyY6MkMSvomzLMbM5kxoASRrR1EJ+AMVnChN
MM4CkngTOyKmW6lGfFzKThlCws4YLe1TRDZLv75LqCtOi8p9T9gqvysCTX8DhPr6YyhBtO5miUWz
jhLZV3FayeKRHzGKBCIIc33i+Tq0lfouTOkQWx15RWQKD0u/lEi1R/5KqKnjZwvc8jDK6omowf4z
FlRm9se0Wle3iRKaV5ZjiQK4w/SVErSvk+IkkLP0FKDD8sQAuyMce5JqXJdBmN8KRi5yingCSbKx
WWfKepw7nnZBnlDEcOOKHQnLmig2X4NCjMOtLq+ECrQmYSoEZenQJhQTJjAYufA9wfXHSzi2DY0o
bJ0Z1iRel2Ednhl2mOvpx0i2tdu0xuSDsgEfOnDLNGVH6aJ4awOFeBImkWk41/SvQml0bNku5YET
Ff+58RkJ+fR3hbjKxDthXekmsC6ARlBmlJ1gVcrHUHmaBBXjpQ7hVXlZeGEVJ8dJZocMX9Ew8SEy
4/Itqc4a0NVFmNCKRZ8AqT8BokePGXYbIsAss47I7grv3aXGrJhcG/h/Oam+y6XE5DmV1YQ4xUko
G9K+fRvSvQVKjKEl8XhBLvW9DdZgcCUsKlmaBHElXtfrQl+TBzYKe7JKXDqLJGDEzqqF5J5SPwZC
tjYUZ1JQK71LySXQsiGk5Yel51OZ0xJd+ZS4qjz1ncC5TtwqudYTz8T1jeOJ7tJhfcICxMtazJop
r0Q8KkO/PoWVJr7RszR8b5Gq4HRNpCagqRYZ6CeWlDKWvABr2tTtN2ZsCABaZ5TbSScDTikJUl5T
ogkNHjm0WuOFpuTVWGon/8Qsx1cywpvEjJ0TI1HHrrTWri3gie5tPy7PY4JKDRfYqTvEtv8fiN87
EIEZeBG74UMVAXLr7M50Kd3fbM5C6BGawS24A0Bt4Mhpupm2Z6Ek8RFzW18PvK9HYcPX1ADWG6re
INd/yYGq4ojij9FsdxKWRkPW8hMtUP2JLpKpDX4Z/XeQ/pAjaRqkHma33FH2x+/SP5h5kHCwkuJq
FTw6mY9T+XknL/wMaENv8B+Iv/0f6HVYpSWUuHHJD5gLnUkIjLY189ZXHkDZwePLP9XyPe2gh5EE
gZ5MAU+WIhwzHP10bgWyEHjWqnS50PxKpMU8EPAN9Ir2KpnR+U/ZonTMB5egMRdPxFjOhHoS+Vrl
hWcwMCVO8Bh1FtChpCxaxomdOuJJBQU87HWi6QUXq1TNBPVc1EFQ9wEcsNN7cwE4j64KkX1fJfnx
Qva0M9hE4RmlF8fD1NkJoP9UbZyxqaTAr8hrXaAaWKwVK59q8Au5y7vEIvBKgfsKafiZsggqnJ5e
yUzXreSzVIq9d1XpU4+0EwJkEIT8gvkaj2mVc4ODZ6qVZEZMiZzbJ8azmZsTnMAbc8am9MRqqnKt
CkZcny9yyxXuClHw1PBIAfDewnyCk5OX9gkwud6GOuZ/xmpsbqSBTD5q6yJvV/O0up1nKz/Ptm9V
8+kNpJr5ffRrX3pZ0AaX+Tt2iIk0nYmwvYpMu6h2xS/J8GdAQa8eAYJW5RH4KbJKGk5sL8bl/AgM
u+5jwdBGWCiAnGmFbC/eVX5wR0nfUsPLd9jp8+Xv7N3BQ8RcTfMcHC8Kdy0rNurHdNCT8FUHijXS
AI6A6Mx4VgcWU7YSXaGKtdFB94P/fR3MHjlWpl6Wp95DvqsDDTSfH1NCT8SOEowR8DK05UpWpwR2
1u5GoAWI2UUwGKnldTvhb9oIvTuYt+9og2De4egPehsUk3MUfC8RXJr26itB1Khdguupd1OlB7QF
FMCcOKiH3T4YyDRXE6XjSTRX7/Z5EWAXhSYEYOP26tICB6QFhtlNfKlhWrBGvASQF2hmp4WeSTT1
kWxCJkKbWvd5p/ZD0gKTyUO1IFOlB1SryYZsrn17QK++CoeISr74i5b+loPhm/aAEesmyTNoL+BY
A24A9Dbsr9sdv2sV0QKf0BEEPHh7HZxdgLiroVcZpAXMIjMRvA60bbQXAne1YLEXwJhgknOzWQ7v
jaAE0Rmrh/Kfzjz64r/9jKskjgiIGkdg4wZw5O5qwbRGmB+wKYGy7q5W7QdkF+gzbng1Bu0F3gio
Rxui1s3VOyMMYwTsNV0cO2/MYdkFCbP9gy5jz7bseEtMKqlwiTLN3amhpwU6mQidQeon1m2vw7ML
gJGw6EF7QcEbApXGoKOh2/AE+rtvhMEbQfBtNp1e7fV3BQ+95/jVZ5RpHeuncn42hGqcRvqVgQbp
3b3O2QAC+5ew4QD3AKmngXsAeyDBEmSRY+mece9sMNQRowFUVrZ+xMEFTwoISoPtgTHimKWypeMX
NheHzd6bYI4akwk2yObzg9sLHFvqUHugGnhLDVI/Q5rt1bMHWF5gaTGcW0ei+8FDOiHhaRl8Qsoj
4mRyCbwV7dXfC9IIBj7AuTaW54BuX7KGx5DqCJMH8vA2YdTfA+S3QTFrGL+7Q+Hw9gAZjqEes6qP
yDc3SfTN+c9d7toDUKUYqQK+e8NadEB7QCbT053TA1xldWQyY2ZRiXj2FTC1kYHPgJXYfH5wjgGM
tk1j+lD3yFTJlDTo1+3VOxpJJDD+LjdZte7zg3sVFB347oFaUHEAFGhbgCns9kLPTSJsMsgpkcI8
1EQCPXuDY0dpxIACuN0KFajm6tkDgzwCZEEN/nar7kOyByrJ/6F7QKHKYOoExxD4tNe+Oewcgw1L
WvPS/dD9/8CXvhRsJq7nP7alGm+ePVfR+dYXtiWKp59vyhMteebO0En7xaZy0/12F2s0//5zLwpp
b3Hnw+0t7/755gaf/vSzi9r+56k3T2eQeVTt7VabZXa8n//yZ59n+3CHuO14PF9X8sfve+vcefLf
EZwtZ1s5jU6ocZN9GywXDLRof5qoc1KGC17OwmyWbZfYLpmS9/bfz9bevhwHL6liMvO9vyIYxffU
0ZVohq6a0nOUzh734GK7usdwyWE4f8i9h1W+VUFbVGlt31Dh07k/K2b7PBYQU7yCsrfVsN+iv35D
Oavg877aLSa4tvfz648UApzU2+fLpUTS5NiHauZkHgGYs7dTNvmpoZJP0bjnbVfYbm/Yu3G0hgp+
8whk6lZMK1c1Gv7zwXLh1g4jb/+N7PK2g0WHj96sZ0W6StFgyVGx//CA6CbiGSr2/Klt0smuv4Jg
VrZ6WFZbSe3zayLy7X/8+ktyEUHe9UTNFgWi4bIvZ14434pp10w38Cus+XKWVv4sfNwVvckJDn2E
l7Msmz24q2ye53t7mubiJscwWL734HrObL8XoovdhovmLMh63dwAhTdh8XDZGXiNmRfHe7aJMpX4
StKjVdoX/SoLhz64Z0OAVjet4Sq5mn9OZz3viQQKOGaDtf1tnvdvj3z/kJPzXXqqV5B/Nk+zebVV
QvPW0/HUJKyH7sGXYfdfYeUfo3S5XeZm3U0MNXjdDBc+P2Evd9Wc1/mBp5MciJfJAwwVf+16e47D
pkI/WOwLIO4DH+Z1OgeTeXvn7aPswuGha76Zh2EGQ+CsFyZsSrRDxd+60eP8tzfZk7MN1IVXeJDd
xM9LUA8D9f69kaKB4u/R/jzL5nsuxSblN1T19/NyP6rcdGYNlfsun7m7G1FRmQ3d/seve23v52nA
ybYV1GxxclRNWnrogp+FAu1qbUNFf5hlLu3oIFRul9mtuy1hDRb+PRzTgZvvg5c9RHCo7a+9y7QO
Xvu3Jw9eXPVzmaYvWbin+adt9+5zf7afXGu+8eDPZ+mf/wEAAP//</cx:binary>
              </cx:geoCache>
            </cx:geography>
          </cx:layoutPr>
        </cx:series>
      </cx:plotAreaRegion>
    </cx:plotArea>
    <cx:legend pos="t" align="ctr" overlay="0">
      <cx:txPr>
        <a:bodyPr spcFirstLastPara="1" vertOverflow="ellipsis" horzOverflow="overflow" wrap="square" lIns="0" tIns="0" rIns="0" bIns="0" anchor="ctr" anchorCtr="1"/>
        <a:lstStyle/>
        <a:p>
          <a:pPr algn="ctr" rtl="0">
            <a:defRPr>
              <a:ln>
                <a:solidFill>
                  <a:schemeClr val="accent1"/>
                </a:solidFill>
              </a:ln>
              <a:solidFill>
                <a:sysClr val="windowText" lastClr="000000">
                  <a:lumMod val="65000"/>
                  <a:lumOff val="35000"/>
                </a:sysClr>
              </a:solidFill>
            </a:defRPr>
          </a:pPr>
          <a:endParaRPr lang="en-GB" sz="900" b="0" i="0" u="none" strike="noStrike" baseline="0">
            <a:ln>
              <a:solidFill>
                <a:schemeClr val="accent1"/>
              </a:solidFill>
            </a:ln>
            <a:solidFill>
              <a:sysClr val="windowText" lastClr="000000">
                <a:lumMod val="65000"/>
                <a:lumOff val="35000"/>
              </a:sysClr>
            </a:solidFill>
            <a:latin typeface="Calibri" panose="020F0502020204030204"/>
          </a:endParaRPr>
        </a:p>
      </cx:txPr>
    </cx:legend>
  </cx:chart>
  <cx:spPr>
    <a:solidFill>
      <a:schemeClr val="tx2">
        <a:lumMod val="20000"/>
        <a:lumOff val="80000"/>
      </a:schemeClr>
    </a:soli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hyperlink" Target="#Bottlenecks!A1"/><Relationship Id="rId4" Type="http://schemas.openxmlformats.org/officeDocument/2006/relationships/chart" Target="../charts/chart4.xml"/><Relationship Id="rId9" Type="http://schemas.microsoft.com/office/2014/relationships/chartEx" Target="../charts/chartEx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hyperlink" Target="#Dashboard!A1"/><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101600</xdr:colOff>
      <xdr:row>4</xdr:row>
      <xdr:rowOff>132080</xdr:rowOff>
    </xdr:to>
    <xdr:sp macro="" textlink="">
      <xdr:nvSpPr>
        <xdr:cNvPr id="2" name="Rectangle 1">
          <a:extLst>
            <a:ext uri="{FF2B5EF4-FFF2-40B4-BE49-F238E27FC236}">
              <a16:creationId xmlns:a16="http://schemas.microsoft.com/office/drawing/2014/main" id="{F54E0BC3-191A-ED75-6983-7D3C87E67406}"/>
            </a:ext>
          </a:extLst>
        </xdr:cNvPr>
        <xdr:cNvSpPr/>
      </xdr:nvSpPr>
      <xdr:spPr>
        <a:xfrm>
          <a:off x="0" y="0"/>
          <a:ext cx="17780000" cy="863600"/>
        </a:xfrm>
        <a:prstGeom prst="rect">
          <a:avLst/>
        </a:prstGeom>
        <a:solidFill>
          <a:srgbClr val="1F386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0</xdr:col>
      <xdr:colOff>304801</xdr:colOff>
      <xdr:row>0</xdr:row>
      <xdr:rowOff>101600</xdr:rowOff>
    </xdr:from>
    <xdr:to>
      <xdr:col>13</xdr:col>
      <xdr:colOff>1436915</xdr:colOff>
      <xdr:row>2</xdr:row>
      <xdr:rowOff>167640</xdr:rowOff>
    </xdr:to>
    <xdr:sp macro="" textlink="">
      <xdr:nvSpPr>
        <xdr:cNvPr id="3" name="TextBox 2">
          <a:extLst>
            <a:ext uri="{FF2B5EF4-FFF2-40B4-BE49-F238E27FC236}">
              <a16:creationId xmlns:a16="http://schemas.microsoft.com/office/drawing/2014/main" id="{7AC9608B-E78A-58CC-28F7-C439464B220E}"/>
            </a:ext>
          </a:extLst>
        </xdr:cNvPr>
        <xdr:cNvSpPr txBox="1"/>
      </xdr:nvSpPr>
      <xdr:spPr>
        <a:xfrm>
          <a:off x="304801" y="101600"/>
          <a:ext cx="10058400" cy="43615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hu-HU" sz="2200" b="1">
              <a:solidFill>
                <a:srgbClr val="FFFFFF"/>
              </a:solidFill>
              <a:latin typeface="Segoe UI" panose="020B0502040204020203" pitchFamily="34" charset="0"/>
            </a:rPr>
            <a:t>Contractor Lifecycle &amp; SLA Tracker</a:t>
          </a:r>
        </a:p>
      </xdr:txBody>
    </xdr:sp>
    <xdr:clientData/>
  </xdr:twoCellAnchor>
  <xdr:twoCellAnchor>
    <xdr:from>
      <xdr:col>0</xdr:col>
      <xdr:colOff>304800</xdr:colOff>
      <xdr:row>2</xdr:row>
      <xdr:rowOff>142240</xdr:rowOff>
    </xdr:from>
    <xdr:to>
      <xdr:col>13</xdr:col>
      <xdr:colOff>1328057</xdr:colOff>
      <xdr:row>4</xdr:row>
      <xdr:rowOff>43542</xdr:rowOff>
    </xdr:to>
    <xdr:sp macro="" textlink="">
      <xdr:nvSpPr>
        <xdr:cNvPr id="4" name="TextBox 3">
          <a:extLst>
            <a:ext uri="{FF2B5EF4-FFF2-40B4-BE49-F238E27FC236}">
              <a16:creationId xmlns:a16="http://schemas.microsoft.com/office/drawing/2014/main" id="{6CEA32C1-381F-A20E-C5AC-044E6582ED4E}"/>
            </a:ext>
          </a:extLst>
        </xdr:cNvPr>
        <xdr:cNvSpPr txBox="1"/>
      </xdr:nvSpPr>
      <xdr:spPr>
        <a:xfrm>
          <a:off x="304800" y="512354"/>
          <a:ext cx="9949543" cy="27141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hu-HU" sz="1050">
              <a:solidFill>
                <a:srgbClr val="BECDE1"/>
              </a:solidFill>
              <a:latin typeface="Segoe UI" panose="020B0502040204020203" pitchFamily="34" charset="0"/>
            </a:rPr>
            <a:t>Onboarding, SLA/KPI compliance, turnover, and contract expiration - sample data for illustration purposes only</a:t>
          </a:r>
        </a:p>
      </xdr:txBody>
    </xdr:sp>
    <xdr:clientData/>
  </xdr:twoCellAnchor>
  <xdr:twoCellAnchor>
    <xdr:from>
      <xdr:col>0</xdr:col>
      <xdr:colOff>254000</xdr:colOff>
      <xdr:row>5</xdr:row>
      <xdr:rowOff>101600</xdr:rowOff>
    </xdr:from>
    <xdr:to>
      <xdr:col>4</xdr:col>
      <xdr:colOff>355600</xdr:colOff>
      <xdr:row>6</xdr:row>
      <xdr:rowOff>147320</xdr:rowOff>
    </xdr:to>
    <xdr:sp macro="" textlink="">
      <xdr:nvSpPr>
        <xdr:cNvPr id="5" name="TextBox 4">
          <a:extLst>
            <a:ext uri="{FF2B5EF4-FFF2-40B4-BE49-F238E27FC236}">
              <a16:creationId xmlns:a16="http://schemas.microsoft.com/office/drawing/2014/main" id="{C2020266-017E-F79D-C60F-F42D10CE1B53}"/>
            </a:ext>
          </a:extLst>
        </xdr:cNvPr>
        <xdr:cNvSpPr txBox="1"/>
      </xdr:nvSpPr>
      <xdr:spPr>
        <a:xfrm>
          <a:off x="254000" y="1016000"/>
          <a:ext cx="2540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hu-HU" sz="900" b="1">
              <a:solidFill>
                <a:srgbClr val="6B7280"/>
              </a:solidFill>
              <a:latin typeface="Segoe UI" panose="020B0502040204020203" pitchFamily="34" charset="0"/>
            </a:rPr>
            <a:t>FILTERS</a:t>
          </a:r>
        </a:p>
      </xdr:txBody>
    </xdr:sp>
    <xdr:clientData/>
  </xdr:twoCellAnchor>
  <xdr:twoCellAnchor editAs="oneCell">
    <xdr:from>
      <xdr:col>0</xdr:col>
      <xdr:colOff>253999</xdr:colOff>
      <xdr:row>6</xdr:row>
      <xdr:rowOff>109221</xdr:rowOff>
    </xdr:from>
    <xdr:to>
      <xdr:col>5</xdr:col>
      <xdr:colOff>402770</xdr:colOff>
      <xdr:row>14</xdr:row>
      <xdr:rowOff>130630</xdr:rowOff>
    </xdr:to>
    <mc:AlternateContent xmlns:mc="http://schemas.openxmlformats.org/markup-compatibility/2006" xmlns:a14="http://schemas.microsoft.com/office/drawing/2010/main">
      <mc:Choice Requires="a14">
        <xdr:graphicFrame macro="">
          <xdr:nvGraphicFramePr>
            <xdr:cNvPr id="6" name="State">
              <a:extLst>
                <a:ext uri="{FF2B5EF4-FFF2-40B4-BE49-F238E27FC236}">
                  <a16:creationId xmlns:a16="http://schemas.microsoft.com/office/drawing/2014/main" id="{BC4E029B-529D-1875-02F8-BA4F47161E16}"/>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254000" y="1184985"/>
              <a:ext cx="1905000" cy="1368313"/>
            </a:xfrm>
            <a:prstGeom prst="rect">
              <a:avLst/>
            </a:prstGeom>
            <a:solidFill>
              <a:prstClr val="white"/>
            </a:solidFill>
            <a:ln w="1">
              <a:solidFill>
                <a:prstClr val="green"/>
              </a:solidFill>
            </a:ln>
          </xdr:spPr>
          <xdr:txBody>
            <a:bodyPr vertOverflow="clip" horzOverflow="clip"/>
            <a:lstStyle/>
            <a:p>
              <a:r>
                <a:rPr lang="hu-H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576943</xdr:colOff>
      <xdr:row>6</xdr:row>
      <xdr:rowOff>141515</xdr:rowOff>
    </xdr:from>
    <xdr:to>
      <xdr:col>11</xdr:col>
      <xdr:colOff>127000</xdr:colOff>
      <xdr:row>14</xdr:row>
      <xdr:rowOff>152038</xdr:rowOff>
    </xdr:to>
    <mc:AlternateContent xmlns:mc="http://schemas.openxmlformats.org/markup-compatibility/2006" xmlns:a14="http://schemas.microsoft.com/office/drawing/2010/main">
      <mc:Choice Requires="a14">
        <xdr:graphicFrame macro="">
          <xdr:nvGraphicFramePr>
            <xdr:cNvPr id="7" name="Vendor">
              <a:extLst>
                <a:ext uri="{FF2B5EF4-FFF2-40B4-BE49-F238E27FC236}">
                  <a16:creationId xmlns:a16="http://schemas.microsoft.com/office/drawing/2014/main" id="{3C04F716-B2EF-6DE1-A842-EF11F41845E7}"/>
                </a:ext>
              </a:extLst>
            </xdr:cNvPr>
            <xdr:cNvGraphicFramePr/>
          </xdr:nvGraphicFramePr>
          <xdr:xfrm>
            <a:off x="0" y="0"/>
            <a:ext cx="0" cy="0"/>
          </xdr:xfrm>
          <a:graphic>
            <a:graphicData uri="http://schemas.microsoft.com/office/drawing/2010/slicer">
              <sle:slicer xmlns:sle="http://schemas.microsoft.com/office/drawing/2010/slicer" name="Vendor"/>
            </a:graphicData>
          </a:graphic>
        </xdr:graphicFrame>
      </mc:Choice>
      <mc:Fallback xmlns="">
        <xdr:sp macro="" textlink="">
          <xdr:nvSpPr>
            <xdr:cNvPr id="0" name=""/>
            <xdr:cNvSpPr>
              <a:spLocks noTextEdit="1"/>
            </xdr:cNvSpPr>
          </xdr:nvSpPr>
          <xdr:spPr>
            <a:xfrm>
              <a:off x="3624943" y="1251858"/>
              <a:ext cx="3207657" cy="1490980"/>
            </a:xfrm>
            <a:prstGeom prst="rect">
              <a:avLst/>
            </a:prstGeom>
            <a:solidFill>
              <a:prstClr val="white"/>
            </a:solidFill>
            <a:ln w="1">
              <a:solidFill>
                <a:prstClr val="green"/>
              </a:solidFill>
            </a:ln>
          </xdr:spPr>
          <xdr:txBody>
            <a:bodyPr vertOverflow="clip" horzOverflow="clip"/>
            <a:lstStyle/>
            <a:p>
              <a:r>
                <a:rPr lang="hu-H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515256</xdr:colOff>
      <xdr:row>6</xdr:row>
      <xdr:rowOff>141878</xdr:rowOff>
    </xdr:from>
    <xdr:to>
      <xdr:col>27</xdr:col>
      <xdr:colOff>315686</xdr:colOff>
      <xdr:row>12</xdr:row>
      <xdr:rowOff>21772</xdr:rowOff>
    </xdr:to>
    <mc:AlternateContent xmlns:mc="http://schemas.openxmlformats.org/markup-compatibility/2006" xmlns:a14="http://schemas.microsoft.com/office/drawing/2010/main">
      <mc:Choice Requires="a14">
        <xdr:graphicFrame macro="">
          <xdr:nvGraphicFramePr>
            <xdr:cNvPr id="8" name="Gender">
              <a:extLst>
                <a:ext uri="{FF2B5EF4-FFF2-40B4-BE49-F238E27FC236}">
                  <a16:creationId xmlns:a16="http://schemas.microsoft.com/office/drawing/2014/main" id="{45F7ED8E-DA14-42AB-0BF7-45F3FFA7E29D}"/>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6016513" y="1252221"/>
              <a:ext cx="2848430" cy="990237"/>
            </a:xfrm>
            <a:prstGeom prst="rect">
              <a:avLst/>
            </a:prstGeom>
            <a:solidFill>
              <a:prstClr val="white"/>
            </a:solidFill>
            <a:ln w="1">
              <a:solidFill>
                <a:prstClr val="green"/>
              </a:solidFill>
            </a:ln>
          </xdr:spPr>
          <xdr:txBody>
            <a:bodyPr vertOverflow="clip" horzOverflow="clip"/>
            <a:lstStyle/>
            <a:p>
              <a:r>
                <a:rPr lang="hu-H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304798</xdr:colOff>
      <xdr:row>6</xdr:row>
      <xdr:rowOff>130991</xdr:rowOff>
    </xdr:from>
    <xdr:to>
      <xdr:col>13</xdr:col>
      <xdr:colOff>1055913</xdr:colOff>
      <xdr:row>14</xdr:row>
      <xdr:rowOff>152400</xdr:rowOff>
    </xdr:to>
    <mc:AlternateContent xmlns:mc="http://schemas.openxmlformats.org/markup-compatibility/2006" xmlns:a14="http://schemas.microsoft.com/office/drawing/2010/main">
      <mc:Choice Requires="a14">
        <xdr:graphicFrame macro="">
          <xdr:nvGraphicFramePr>
            <xdr:cNvPr id="9" name="PayBand">
              <a:extLst>
                <a:ext uri="{FF2B5EF4-FFF2-40B4-BE49-F238E27FC236}">
                  <a16:creationId xmlns:a16="http://schemas.microsoft.com/office/drawing/2014/main" id="{EFE90450-55C1-A1DD-E3BC-5298AD973D10}"/>
                </a:ext>
              </a:extLst>
            </xdr:cNvPr>
            <xdr:cNvGraphicFramePr/>
          </xdr:nvGraphicFramePr>
          <xdr:xfrm>
            <a:off x="0" y="0"/>
            <a:ext cx="0" cy="0"/>
          </xdr:xfrm>
          <a:graphic>
            <a:graphicData uri="http://schemas.microsoft.com/office/drawing/2010/slicer">
              <sle:slicer xmlns:sle="http://schemas.microsoft.com/office/drawing/2010/slicer" name="PayBand"/>
            </a:graphicData>
          </a:graphic>
        </xdr:graphicFrame>
      </mc:Choice>
      <mc:Fallback xmlns="">
        <xdr:sp macro="" textlink="">
          <xdr:nvSpPr>
            <xdr:cNvPr id="0" name=""/>
            <xdr:cNvSpPr>
              <a:spLocks noTextEdit="1"/>
            </xdr:cNvSpPr>
          </xdr:nvSpPr>
          <xdr:spPr>
            <a:xfrm>
              <a:off x="7010398" y="1241334"/>
              <a:ext cx="2971801" cy="1501866"/>
            </a:xfrm>
            <a:prstGeom prst="rect">
              <a:avLst/>
            </a:prstGeom>
            <a:solidFill>
              <a:prstClr val="white"/>
            </a:solidFill>
            <a:ln w="1">
              <a:solidFill>
                <a:prstClr val="green"/>
              </a:solidFill>
            </a:ln>
          </xdr:spPr>
          <xdr:txBody>
            <a:bodyPr vertOverflow="clip" horzOverflow="clip"/>
            <a:lstStyle/>
            <a:p>
              <a:r>
                <a:rPr lang="hu-H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254000</xdr:colOff>
      <xdr:row>17</xdr:row>
      <xdr:rowOff>2540</xdr:rowOff>
    </xdr:from>
    <xdr:to>
      <xdr:col>5</xdr:col>
      <xdr:colOff>457200</xdr:colOff>
      <xdr:row>23</xdr:row>
      <xdr:rowOff>73660</xdr:rowOff>
    </xdr:to>
    <xdr:sp macro="" textlink="">
      <xdr:nvSpPr>
        <xdr:cNvPr id="10" name="card_TotalActiveContractors">
          <a:extLst>
            <a:ext uri="{FF2B5EF4-FFF2-40B4-BE49-F238E27FC236}">
              <a16:creationId xmlns:a16="http://schemas.microsoft.com/office/drawing/2014/main" id="{BF66A591-513A-4E04-2927-5FCF6524867F}"/>
            </a:ext>
          </a:extLst>
        </xdr:cNvPr>
        <xdr:cNvSpPr/>
      </xdr:nvSpPr>
      <xdr:spPr>
        <a:xfrm>
          <a:off x="254000" y="3111500"/>
          <a:ext cx="3251200" cy="1168400"/>
        </a:xfrm>
        <a:prstGeom prst="roundRect">
          <a:avLst>
            <a:gd name="adj" fmla="val 8000"/>
          </a:avLst>
        </a:prstGeom>
        <a:solidFill>
          <a:srgbClr val="FFFFFF"/>
        </a:solidFill>
        <a:ln w="12700">
          <a:solidFill>
            <a:srgbClr val="E1E4E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0</xdr:col>
      <xdr:colOff>254000</xdr:colOff>
      <xdr:row>17</xdr:row>
      <xdr:rowOff>2540</xdr:rowOff>
    </xdr:from>
    <xdr:to>
      <xdr:col>0</xdr:col>
      <xdr:colOff>304800</xdr:colOff>
      <xdr:row>23</xdr:row>
      <xdr:rowOff>73660</xdr:rowOff>
    </xdr:to>
    <xdr:sp macro="" textlink="">
      <xdr:nvSpPr>
        <xdr:cNvPr id="11" name="Rectangle 10">
          <a:extLst>
            <a:ext uri="{FF2B5EF4-FFF2-40B4-BE49-F238E27FC236}">
              <a16:creationId xmlns:a16="http://schemas.microsoft.com/office/drawing/2014/main" id="{00647D19-7EB0-92A9-9D21-A29E5789D609}"/>
            </a:ext>
          </a:extLst>
        </xdr:cNvPr>
        <xdr:cNvSpPr/>
      </xdr:nvSpPr>
      <xdr:spPr>
        <a:xfrm>
          <a:off x="254000" y="3111500"/>
          <a:ext cx="50800" cy="1168400"/>
        </a:xfrm>
        <a:prstGeom prst="rect">
          <a:avLst/>
        </a:prstGeom>
        <a:solidFill>
          <a:srgbClr val="1F386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0</xdr:col>
      <xdr:colOff>431800</xdr:colOff>
      <xdr:row>17</xdr:row>
      <xdr:rowOff>129540</xdr:rowOff>
    </xdr:from>
    <xdr:to>
      <xdr:col>5</xdr:col>
      <xdr:colOff>330200</xdr:colOff>
      <xdr:row>18</xdr:row>
      <xdr:rowOff>149860</xdr:rowOff>
    </xdr:to>
    <xdr:sp macro="" textlink="">
      <xdr:nvSpPr>
        <xdr:cNvPr id="12" name="TextBox 11">
          <a:extLst>
            <a:ext uri="{FF2B5EF4-FFF2-40B4-BE49-F238E27FC236}">
              <a16:creationId xmlns:a16="http://schemas.microsoft.com/office/drawing/2014/main" id="{96EAF8DB-6870-017E-C343-869758A84B82}"/>
            </a:ext>
          </a:extLst>
        </xdr:cNvPr>
        <xdr:cNvSpPr txBox="1"/>
      </xdr:nvSpPr>
      <xdr:spPr>
        <a:xfrm>
          <a:off x="431800" y="3238500"/>
          <a:ext cx="2946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hu-HU" sz="1200" b="1">
              <a:solidFill>
                <a:srgbClr val="6B7280"/>
              </a:solidFill>
              <a:latin typeface="Segoe UI" panose="020B0502040204020203" pitchFamily="34" charset="0"/>
            </a:rPr>
            <a:t>TOTAL ACTIVE CONTRACTORS</a:t>
          </a:r>
        </a:p>
      </xdr:txBody>
    </xdr:sp>
    <xdr:clientData/>
  </xdr:twoCellAnchor>
  <xdr:twoCellAnchor>
    <xdr:from>
      <xdr:col>0</xdr:col>
      <xdr:colOff>431800</xdr:colOff>
      <xdr:row>19</xdr:row>
      <xdr:rowOff>17780</xdr:rowOff>
    </xdr:from>
    <xdr:to>
      <xdr:col>5</xdr:col>
      <xdr:colOff>330200</xdr:colOff>
      <xdr:row>22</xdr:row>
      <xdr:rowOff>129540</xdr:rowOff>
    </xdr:to>
    <xdr:sp macro="" textlink="Dashboard!$BH$1">
      <xdr:nvSpPr>
        <xdr:cNvPr id="13" name="TextBox 12">
          <a:extLst>
            <a:ext uri="{FF2B5EF4-FFF2-40B4-BE49-F238E27FC236}">
              <a16:creationId xmlns:a16="http://schemas.microsoft.com/office/drawing/2014/main" id="{300F28A2-EEDA-4B19-049C-EFAC4D3D8195}"/>
            </a:ext>
          </a:extLst>
        </xdr:cNvPr>
        <xdr:cNvSpPr txBox="1"/>
      </xdr:nvSpPr>
      <xdr:spPr>
        <a:xfrm>
          <a:off x="431800" y="3492500"/>
          <a:ext cx="2946400" cy="660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5963D450-1459-4E2F-A6CC-DDB013E0DEE0}" type="TxLink">
            <a:rPr lang="en-US" sz="1600" b="1" i="0" u="none" strike="noStrike">
              <a:solidFill>
                <a:srgbClr val="1F3864"/>
              </a:solidFill>
              <a:latin typeface="Segoe UI" panose="020B0502040204020203" pitchFamily="34" charset="0"/>
              <a:ea typeface="Calibri"/>
              <a:cs typeface="Calibri"/>
            </a:rPr>
            <a:pPr algn="ctr"/>
            <a:t>77</a:t>
          </a:fld>
          <a:endParaRPr lang="hu-HU" sz="1600" b="1">
            <a:solidFill>
              <a:srgbClr val="1F3864"/>
            </a:solidFill>
            <a:latin typeface="Segoe UI" panose="020B0502040204020203" pitchFamily="34" charset="0"/>
          </a:endParaRPr>
        </a:p>
      </xdr:txBody>
    </xdr:sp>
    <xdr:clientData/>
  </xdr:twoCellAnchor>
  <xdr:twoCellAnchor>
    <xdr:from>
      <xdr:col>6</xdr:col>
      <xdr:colOff>50800</xdr:colOff>
      <xdr:row>17</xdr:row>
      <xdr:rowOff>2540</xdr:rowOff>
    </xdr:from>
    <xdr:to>
      <xdr:col>11</xdr:col>
      <xdr:colOff>254000</xdr:colOff>
      <xdr:row>23</xdr:row>
      <xdr:rowOff>73660</xdr:rowOff>
    </xdr:to>
    <xdr:sp macro="" textlink="">
      <xdr:nvSpPr>
        <xdr:cNvPr id="14" name="card_ExpiringWithin30Days">
          <a:extLst>
            <a:ext uri="{FF2B5EF4-FFF2-40B4-BE49-F238E27FC236}">
              <a16:creationId xmlns:a16="http://schemas.microsoft.com/office/drawing/2014/main" id="{0F6AA936-D294-3ED0-C178-78EFA617D399}"/>
            </a:ext>
          </a:extLst>
        </xdr:cNvPr>
        <xdr:cNvSpPr/>
      </xdr:nvSpPr>
      <xdr:spPr>
        <a:xfrm>
          <a:off x="3708400" y="3111500"/>
          <a:ext cx="3251200" cy="1168400"/>
        </a:xfrm>
        <a:prstGeom prst="roundRect">
          <a:avLst>
            <a:gd name="adj" fmla="val 8000"/>
          </a:avLst>
        </a:prstGeom>
        <a:solidFill>
          <a:srgbClr val="FFFFFF"/>
        </a:solidFill>
        <a:ln w="12700">
          <a:solidFill>
            <a:srgbClr val="E1E4E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6</xdr:col>
      <xdr:colOff>50800</xdr:colOff>
      <xdr:row>17</xdr:row>
      <xdr:rowOff>2540</xdr:rowOff>
    </xdr:from>
    <xdr:to>
      <xdr:col>6</xdr:col>
      <xdr:colOff>101600</xdr:colOff>
      <xdr:row>23</xdr:row>
      <xdr:rowOff>73660</xdr:rowOff>
    </xdr:to>
    <xdr:sp macro="" textlink="">
      <xdr:nvSpPr>
        <xdr:cNvPr id="15" name="Rectangle 14">
          <a:extLst>
            <a:ext uri="{FF2B5EF4-FFF2-40B4-BE49-F238E27FC236}">
              <a16:creationId xmlns:a16="http://schemas.microsoft.com/office/drawing/2014/main" id="{D133493D-F9D9-53CF-25D0-7ACD08143FA4}"/>
            </a:ext>
          </a:extLst>
        </xdr:cNvPr>
        <xdr:cNvSpPr/>
      </xdr:nvSpPr>
      <xdr:spPr>
        <a:xfrm>
          <a:off x="3708400" y="3111500"/>
          <a:ext cx="50800" cy="1168400"/>
        </a:xfrm>
        <a:prstGeom prst="rect">
          <a:avLst/>
        </a:prstGeom>
        <a:solidFill>
          <a:srgbClr val="C0392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6</xdr:col>
      <xdr:colOff>228600</xdr:colOff>
      <xdr:row>17</xdr:row>
      <xdr:rowOff>129540</xdr:rowOff>
    </xdr:from>
    <xdr:to>
      <xdr:col>11</xdr:col>
      <xdr:colOff>127000</xdr:colOff>
      <xdr:row>18</xdr:row>
      <xdr:rowOff>149860</xdr:rowOff>
    </xdr:to>
    <xdr:sp macro="" textlink="">
      <xdr:nvSpPr>
        <xdr:cNvPr id="16" name="TextBox 15">
          <a:extLst>
            <a:ext uri="{FF2B5EF4-FFF2-40B4-BE49-F238E27FC236}">
              <a16:creationId xmlns:a16="http://schemas.microsoft.com/office/drawing/2014/main" id="{9B5BDDF7-702E-2B8A-562D-F98817B5DA66}"/>
            </a:ext>
          </a:extLst>
        </xdr:cNvPr>
        <xdr:cNvSpPr txBox="1"/>
      </xdr:nvSpPr>
      <xdr:spPr>
        <a:xfrm>
          <a:off x="3886200" y="3238500"/>
          <a:ext cx="2946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hu-HU" sz="1200" b="1">
              <a:solidFill>
                <a:srgbClr val="6B7280"/>
              </a:solidFill>
              <a:latin typeface="Segoe UI" panose="020B0502040204020203" pitchFamily="34" charset="0"/>
            </a:rPr>
            <a:t>EXPIRING WITHIN 30 DAYS</a:t>
          </a:r>
        </a:p>
      </xdr:txBody>
    </xdr:sp>
    <xdr:clientData/>
  </xdr:twoCellAnchor>
  <xdr:twoCellAnchor>
    <xdr:from>
      <xdr:col>6</xdr:col>
      <xdr:colOff>228600</xdr:colOff>
      <xdr:row>19</xdr:row>
      <xdr:rowOff>17780</xdr:rowOff>
    </xdr:from>
    <xdr:to>
      <xdr:col>11</xdr:col>
      <xdr:colOff>127000</xdr:colOff>
      <xdr:row>22</xdr:row>
      <xdr:rowOff>129540</xdr:rowOff>
    </xdr:to>
    <xdr:sp macro="" textlink="Dashboard!$BH$2">
      <xdr:nvSpPr>
        <xdr:cNvPr id="17" name="TextBox 16">
          <a:extLst>
            <a:ext uri="{FF2B5EF4-FFF2-40B4-BE49-F238E27FC236}">
              <a16:creationId xmlns:a16="http://schemas.microsoft.com/office/drawing/2014/main" id="{3B62F839-99BB-6935-A315-80FD00971957}"/>
            </a:ext>
          </a:extLst>
        </xdr:cNvPr>
        <xdr:cNvSpPr txBox="1"/>
      </xdr:nvSpPr>
      <xdr:spPr>
        <a:xfrm>
          <a:off x="3886200" y="3492500"/>
          <a:ext cx="2946400" cy="660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F1EC511E-C549-43F7-9C0F-AEE660189548}" type="TxLink">
            <a:rPr lang="en-US" sz="1600" b="1" i="0" u="none" strike="noStrike">
              <a:solidFill>
                <a:srgbClr val="1F3864"/>
              </a:solidFill>
              <a:latin typeface="Segoe UI" panose="020B0502040204020203" pitchFamily="34" charset="0"/>
              <a:ea typeface="Calibri"/>
              <a:cs typeface="Calibri"/>
            </a:rPr>
            <a:pPr algn="ctr"/>
            <a:t>14</a:t>
          </a:fld>
          <a:endParaRPr lang="hu-HU" sz="1600" b="1">
            <a:solidFill>
              <a:srgbClr val="1F3864"/>
            </a:solidFill>
            <a:latin typeface="Segoe UI" panose="020B0502040204020203" pitchFamily="34" charset="0"/>
          </a:endParaRPr>
        </a:p>
      </xdr:txBody>
    </xdr:sp>
    <xdr:clientData/>
  </xdr:twoCellAnchor>
  <xdr:twoCellAnchor>
    <xdr:from>
      <xdr:col>11</xdr:col>
      <xdr:colOff>457200</xdr:colOff>
      <xdr:row>17</xdr:row>
      <xdr:rowOff>2540</xdr:rowOff>
    </xdr:from>
    <xdr:to>
      <xdr:col>17</xdr:col>
      <xdr:colOff>50800</xdr:colOff>
      <xdr:row>23</xdr:row>
      <xdr:rowOff>73660</xdr:rowOff>
    </xdr:to>
    <xdr:sp macro="" textlink="">
      <xdr:nvSpPr>
        <xdr:cNvPr id="18" name="card_AvgOnboardingDays">
          <a:extLst>
            <a:ext uri="{FF2B5EF4-FFF2-40B4-BE49-F238E27FC236}">
              <a16:creationId xmlns:a16="http://schemas.microsoft.com/office/drawing/2014/main" id="{D7086826-77E3-7706-565C-D24FCA613725}"/>
            </a:ext>
          </a:extLst>
        </xdr:cNvPr>
        <xdr:cNvSpPr/>
      </xdr:nvSpPr>
      <xdr:spPr>
        <a:xfrm>
          <a:off x="7162800" y="3111500"/>
          <a:ext cx="3251200" cy="1168400"/>
        </a:xfrm>
        <a:prstGeom prst="roundRect">
          <a:avLst>
            <a:gd name="adj" fmla="val 8000"/>
          </a:avLst>
        </a:prstGeom>
        <a:solidFill>
          <a:srgbClr val="FFFFFF"/>
        </a:solidFill>
        <a:ln w="12700">
          <a:solidFill>
            <a:srgbClr val="E1E4E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11</xdr:col>
      <xdr:colOff>457200</xdr:colOff>
      <xdr:row>17</xdr:row>
      <xdr:rowOff>2540</xdr:rowOff>
    </xdr:from>
    <xdr:to>
      <xdr:col>11</xdr:col>
      <xdr:colOff>508000</xdr:colOff>
      <xdr:row>23</xdr:row>
      <xdr:rowOff>73660</xdr:rowOff>
    </xdr:to>
    <xdr:sp macro="" textlink="">
      <xdr:nvSpPr>
        <xdr:cNvPr id="19" name="Rectangle 18">
          <a:extLst>
            <a:ext uri="{FF2B5EF4-FFF2-40B4-BE49-F238E27FC236}">
              <a16:creationId xmlns:a16="http://schemas.microsoft.com/office/drawing/2014/main" id="{654B9728-3907-511E-6635-7914B9BD2FE5}"/>
            </a:ext>
          </a:extLst>
        </xdr:cNvPr>
        <xdr:cNvSpPr/>
      </xdr:nvSpPr>
      <xdr:spPr>
        <a:xfrm>
          <a:off x="7162800" y="3111500"/>
          <a:ext cx="50800" cy="1168400"/>
        </a:xfrm>
        <a:prstGeom prst="rect">
          <a:avLst/>
        </a:prstGeom>
        <a:solidFill>
          <a:srgbClr val="B9770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12</xdr:col>
      <xdr:colOff>25400</xdr:colOff>
      <xdr:row>17</xdr:row>
      <xdr:rowOff>129540</xdr:rowOff>
    </xdr:from>
    <xdr:to>
      <xdr:col>16</xdr:col>
      <xdr:colOff>533400</xdr:colOff>
      <xdr:row>18</xdr:row>
      <xdr:rowOff>149860</xdr:rowOff>
    </xdr:to>
    <xdr:sp macro="" textlink="">
      <xdr:nvSpPr>
        <xdr:cNvPr id="20" name="TextBox 19">
          <a:extLst>
            <a:ext uri="{FF2B5EF4-FFF2-40B4-BE49-F238E27FC236}">
              <a16:creationId xmlns:a16="http://schemas.microsoft.com/office/drawing/2014/main" id="{ADF104CC-D6A3-A08E-63E1-D528F1E9D508}"/>
            </a:ext>
          </a:extLst>
        </xdr:cNvPr>
        <xdr:cNvSpPr txBox="1"/>
      </xdr:nvSpPr>
      <xdr:spPr>
        <a:xfrm>
          <a:off x="7340600" y="3238500"/>
          <a:ext cx="2946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hu-HU" sz="1200" b="1">
              <a:solidFill>
                <a:srgbClr val="6B7280"/>
              </a:solidFill>
              <a:latin typeface="Segoe UI" panose="020B0502040204020203" pitchFamily="34" charset="0"/>
            </a:rPr>
            <a:t>AVG ONBOARDING DAYS</a:t>
          </a:r>
        </a:p>
      </xdr:txBody>
    </xdr:sp>
    <xdr:clientData/>
  </xdr:twoCellAnchor>
  <xdr:twoCellAnchor>
    <xdr:from>
      <xdr:col>12</xdr:col>
      <xdr:colOff>25400</xdr:colOff>
      <xdr:row>19</xdr:row>
      <xdr:rowOff>17780</xdr:rowOff>
    </xdr:from>
    <xdr:to>
      <xdr:col>16</xdr:col>
      <xdr:colOff>533400</xdr:colOff>
      <xdr:row>22</xdr:row>
      <xdr:rowOff>129540</xdr:rowOff>
    </xdr:to>
    <xdr:sp macro="" textlink="Dashboard!$BH$3">
      <xdr:nvSpPr>
        <xdr:cNvPr id="21" name="TextBox 20">
          <a:extLst>
            <a:ext uri="{FF2B5EF4-FFF2-40B4-BE49-F238E27FC236}">
              <a16:creationId xmlns:a16="http://schemas.microsoft.com/office/drawing/2014/main" id="{04296C98-16A1-7664-8773-5E5B7E97D64B}"/>
            </a:ext>
          </a:extLst>
        </xdr:cNvPr>
        <xdr:cNvSpPr txBox="1"/>
      </xdr:nvSpPr>
      <xdr:spPr>
        <a:xfrm>
          <a:off x="7340600" y="3492500"/>
          <a:ext cx="2946400" cy="660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B7B16F71-C407-45C4-9F47-10438AEE0517}" type="TxLink">
            <a:rPr lang="en-US" sz="1600" b="1" i="0" u="none" strike="noStrike">
              <a:solidFill>
                <a:srgbClr val="1F3864"/>
              </a:solidFill>
              <a:latin typeface="Segoe UI" panose="020B0502040204020203" pitchFamily="34" charset="0"/>
              <a:ea typeface="Calibri"/>
              <a:cs typeface="Calibri"/>
            </a:rPr>
            <a:pPr algn="ctr"/>
            <a:t>17,9 days</a:t>
          </a:fld>
          <a:endParaRPr lang="hu-HU" sz="1600" b="1">
            <a:solidFill>
              <a:srgbClr val="1F3864"/>
            </a:solidFill>
            <a:latin typeface="Segoe UI" panose="020B0502040204020203" pitchFamily="34" charset="0"/>
          </a:endParaRPr>
        </a:p>
      </xdr:txBody>
    </xdr:sp>
    <xdr:clientData/>
  </xdr:twoCellAnchor>
  <xdr:twoCellAnchor>
    <xdr:from>
      <xdr:col>17</xdr:col>
      <xdr:colOff>254000</xdr:colOff>
      <xdr:row>17</xdr:row>
      <xdr:rowOff>2540</xdr:rowOff>
    </xdr:from>
    <xdr:to>
      <xdr:col>22</xdr:col>
      <xdr:colOff>457200</xdr:colOff>
      <xdr:row>23</xdr:row>
      <xdr:rowOff>73660</xdr:rowOff>
    </xdr:to>
    <xdr:sp macro="" textlink="">
      <xdr:nvSpPr>
        <xdr:cNvPr id="22" name="card_LatestSLACompliance">
          <a:extLst>
            <a:ext uri="{FF2B5EF4-FFF2-40B4-BE49-F238E27FC236}">
              <a16:creationId xmlns:a16="http://schemas.microsoft.com/office/drawing/2014/main" id="{7A7E726B-5BC4-5AB0-A266-3D438FD75EDB}"/>
            </a:ext>
          </a:extLst>
        </xdr:cNvPr>
        <xdr:cNvSpPr/>
      </xdr:nvSpPr>
      <xdr:spPr>
        <a:xfrm>
          <a:off x="10617200" y="3111500"/>
          <a:ext cx="3251200" cy="1168400"/>
        </a:xfrm>
        <a:prstGeom prst="roundRect">
          <a:avLst>
            <a:gd name="adj" fmla="val 8000"/>
          </a:avLst>
        </a:prstGeom>
        <a:solidFill>
          <a:srgbClr val="FFFFFF"/>
        </a:solidFill>
        <a:ln w="12700">
          <a:solidFill>
            <a:srgbClr val="E1E4E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17</xdr:col>
      <xdr:colOff>254000</xdr:colOff>
      <xdr:row>17</xdr:row>
      <xdr:rowOff>2540</xdr:rowOff>
    </xdr:from>
    <xdr:to>
      <xdr:col>17</xdr:col>
      <xdr:colOff>304800</xdr:colOff>
      <xdr:row>23</xdr:row>
      <xdr:rowOff>73660</xdr:rowOff>
    </xdr:to>
    <xdr:sp macro="" textlink="">
      <xdr:nvSpPr>
        <xdr:cNvPr id="23" name="Rectangle 22">
          <a:extLst>
            <a:ext uri="{FF2B5EF4-FFF2-40B4-BE49-F238E27FC236}">
              <a16:creationId xmlns:a16="http://schemas.microsoft.com/office/drawing/2014/main" id="{0C246FD5-0EB7-A96E-96B8-BE7B73D235AB}"/>
            </a:ext>
          </a:extLst>
        </xdr:cNvPr>
        <xdr:cNvSpPr/>
      </xdr:nvSpPr>
      <xdr:spPr>
        <a:xfrm>
          <a:off x="10617200" y="3111500"/>
          <a:ext cx="50800" cy="1168400"/>
        </a:xfrm>
        <a:prstGeom prst="rect">
          <a:avLst/>
        </a:prstGeom>
        <a:solidFill>
          <a:srgbClr val="1E714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17</xdr:col>
      <xdr:colOff>431800</xdr:colOff>
      <xdr:row>17</xdr:row>
      <xdr:rowOff>129540</xdr:rowOff>
    </xdr:from>
    <xdr:to>
      <xdr:col>22</xdr:col>
      <xdr:colOff>330200</xdr:colOff>
      <xdr:row>18</xdr:row>
      <xdr:rowOff>149860</xdr:rowOff>
    </xdr:to>
    <xdr:sp macro="" textlink="">
      <xdr:nvSpPr>
        <xdr:cNvPr id="24" name="TextBox 23">
          <a:extLst>
            <a:ext uri="{FF2B5EF4-FFF2-40B4-BE49-F238E27FC236}">
              <a16:creationId xmlns:a16="http://schemas.microsoft.com/office/drawing/2014/main" id="{4FC8D0F5-D624-78AA-7F2E-3835AA12F30D}"/>
            </a:ext>
          </a:extLst>
        </xdr:cNvPr>
        <xdr:cNvSpPr txBox="1"/>
      </xdr:nvSpPr>
      <xdr:spPr>
        <a:xfrm>
          <a:off x="10795000" y="3238500"/>
          <a:ext cx="2946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hu-HU" sz="1200" b="1">
              <a:solidFill>
                <a:srgbClr val="6B7280"/>
              </a:solidFill>
              <a:latin typeface="Segoe UI" panose="020B0502040204020203" pitchFamily="34" charset="0"/>
            </a:rPr>
            <a:t>LATEST SLA COMPLIANCE %</a:t>
          </a:r>
        </a:p>
      </xdr:txBody>
    </xdr:sp>
    <xdr:clientData/>
  </xdr:twoCellAnchor>
  <xdr:twoCellAnchor>
    <xdr:from>
      <xdr:col>17</xdr:col>
      <xdr:colOff>431800</xdr:colOff>
      <xdr:row>19</xdr:row>
      <xdr:rowOff>17780</xdr:rowOff>
    </xdr:from>
    <xdr:to>
      <xdr:col>22</xdr:col>
      <xdr:colOff>330200</xdr:colOff>
      <xdr:row>22</xdr:row>
      <xdr:rowOff>129540</xdr:rowOff>
    </xdr:to>
    <xdr:sp macro="" textlink="Dashboard!$BH$4">
      <xdr:nvSpPr>
        <xdr:cNvPr id="25" name="TextBox 24">
          <a:extLst>
            <a:ext uri="{FF2B5EF4-FFF2-40B4-BE49-F238E27FC236}">
              <a16:creationId xmlns:a16="http://schemas.microsoft.com/office/drawing/2014/main" id="{9CA5F7E7-C117-8CC3-23F1-6928180EDC91}"/>
            </a:ext>
          </a:extLst>
        </xdr:cNvPr>
        <xdr:cNvSpPr txBox="1"/>
      </xdr:nvSpPr>
      <xdr:spPr>
        <a:xfrm>
          <a:off x="10795000" y="3492500"/>
          <a:ext cx="2946400" cy="660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8AD6411B-5C74-4C8C-B5AD-ED3BD60D1D93}" type="TxLink">
            <a:rPr lang="en-US" sz="1600" b="1" i="0" u="none" strike="noStrike">
              <a:solidFill>
                <a:srgbClr val="1F3864"/>
              </a:solidFill>
              <a:latin typeface="Segoe UI" panose="020B0502040204020203" pitchFamily="34" charset="0"/>
              <a:ea typeface="Calibri"/>
              <a:cs typeface="Calibri"/>
            </a:rPr>
            <a:pPr algn="ctr"/>
            <a:t>96,4%</a:t>
          </a:fld>
          <a:endParaRPr lang="hu-HU" sz="1600" b="1">
            <a:solidFill>
              <a:srgbClr val="1F3864"/>
            </a:solidFill>
            <a:latin typeface="Segoe UI" panose="020B0502040204020203" pitchFamily="34" charset="0"/>
          </a:endParaRPr>
        </a:p>
      </xdr:txBody>
    </xdr:sp>
    <xdr:clientData/>
  </xdr:twoCellAnchor>
  <xdr:twoCellAnchor>
    <xdr:from>
      <xdr:col>23</xdr:col>
      <xdr:colOff>50800</xdr:colOff>
      <xdr:row>17</xdr:row>
      <xdr:rowOff>2540</xdr:rowOff>
    </xdr:from>
    <xdr:to>
      <xdr:col>28</xdr:col>
      <xdr:colOff>254000</xdr:colOff>
      <xdr:row>23</xdr:row>
      <xdr:rowOff>73660</xdr:rowOff>
    </xdr:to>
    <xdr:sp macro="" textlink="">
      <xdr:nvSpPr>
        <xdr:cNvPr id="26" name="card_OpenDiscrepancyFlags">
          <a:extLst>
            <a:ext uri="{FF2B5EF4-FFF2-40B4-BE49-F238E27FC236}">
              <a16:creationId xmlns:a16="http://schemas.microsoft.com/office/drawing/2014/main" id="{96DD935F-F8D9-7B33-D1A5-AFF47845E05E}"/>
            </a:ext>
          </a:extLst>
        </xdr:cNvPr>
        <xdr:cNvSpPr/>
      </xdr:nvSpPr>
      <xdr:spPr>
        <a:xfrm>
          <a:off x="14071600" y="3111500"/>
          <a:ext cx="3251200" cy="1168400"/>
        </a:xfrm>
        <a:prstGeom prst="roundRect">
          <a:avLst>
            <a:gd name="adj" fmla="val 8000"/>
          </a:avLst>
        </a:prstGeom>
        <a:solidFill>
          <a:srgbClr val="FFFFFF"/>
        </a:solidFill>
        <a:ln w="12700">
          <a:solidFill>
            <a:srgbClr val="E1E4E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23</xdr:col>
      <xdr:colOff>50800</xdr:colOff>
      <xdr:row>17</xdr:row>
      <xdr:rowOff>2540</xdr:rowOff>
    </xdr:from>
    <xdr:to>
      <xdr:col>23</xdr:col>
      <xdr:colOff>101600</xdr:colOff>
      <xdr:row>23</xdr:row>
      <xdr:rowOff>73660</xdr:rowOff>
    </xdr:to>
    <xdr:sp macro="" textlink="">
      <xdr:nvSpPr>
        <xdr:cNvPr id="27" name="Rectangle 26">
          <a:extLst>
            <a:ext uri="{FF2B5EF4-FFF2-40B4-BE49-F238E27FC236}">
              <a16:creationId xmlns:a16="http://schemas.microsoft.com/office/drawing/2014/main" id="{75D1978B-38F0-AD2B-FC19-3B39B77B6E4F}"/>
            </a:ext>
          </a:extLst>
        </xdr:cNvPr>
        <xdr:cNvSpPr/>
      </xdr:nvSpPr>
      <xdr:spPr>
        <a:xfrm>
          <a:off x="14071600" y="3111500"/>
          <a:ext cx="50800" cy="1168400"/>
        </a:xfrm>
        <a:prstGeom prst="rect">
          <a:avLst/>
        </a:prstGeom>
        <a:solidFill>
          <a:srgbClr val="C0392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23</xdr:col>
      <xdr:colOff>228600</xdr:colOff>
      <xdr:row>17</xdr:row>
      <xdr:rowOff>129540</xdr:rowOff>
    </xdr:from>
    <xdr:to>
      <xdr:col>28</xdr:col>
      <xdr:colOff>127000</xdr:colOff>
      <xdr:row>18</xdr:row>
      <xdr:rowOff>149860</xdr:rowOff>
    </xdr:to>
    <xdr:sp macro="" textlink="">
      <xdr:nvSpPr>
        <xdr:cNvPr id="28" name="TextBox 27">
          <a:extLst>
            <a:ext uri="{FF2B5EF4-FFF2-40B4-BE49-F238E27FC236}">
              <a16:creationId xmlns:a16="http://schemas.microsoft.com/office/drawing/2014/main" id="{CBE9D6E2-6685-059C-B08A-6D6FE357C7BD}"/>
            </a:ext>
          </a:extLst>
        </xdr:cNvPr>
        <xdr:cNvSpPr txBox="1"/>
      </xdr:nvSpPr>
      <xdr:spPr>
        <a:xfrm>
          <a:off x="14249400" y="3238500"/>
          <a:ext cx="2946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hu-HU" sz="1200" b="1">
              <a:solidFill>
                <a:srgbClr val="6B7280"/>
              </a:solidFill>
              <a:latin typeface="Segoe UI" panose="020B0502040204020203" pitchFamily="34" charset="0"/>
            </a:rPr>
            <a:t>OPEN DISCREPANCY FLAGS</a:t>
          </a:r>
        </a:p>
      </xdr:txBody>
    </xdr:sp>
    <xdr:clientData/>
  </xdr:twoCellAnchor>
  <xdr:twoCellAnchor>
    <xdr:from>
      <xdr:col>23</xdr:col>
      <xdr:colOff>228600</xdr:colOff>
      <xdr:row>19</xdr:row>
      <xdr:rowOff>17780</xdr:rowOff>
    </xdr:from>
    <xdr:to>
      <xdr:col>28</xdr:col>
      <xdr:colOff>127000</xdr:colOff>
      <xdr:row>22</xdr:row>
      <xdr:rowOff>129540</xdr:rowOff>
    </xdr:to>
    <xdr:sp macro="" textlink="Dashboard!$BH$5">
      <xdr:nvSpPr>
        <xdr:cNvPr id="29" name="TextBox 28">
          <a:extLst>
            <a:ext uri="{FF2B5EF4-FFF2-40B4-BE49-F238E27FC236}">
              <a16:creationId xmlns:a16="http://schemas.microsoft.com/office/drawing/2014/main" id="{4984CAB7-161A-D0F1-DC56-738929D09DC6}"/>
            </a:ext>
          </a:extLst>
        </xdr:cNvPr>
        <xdr:cNvSpPr txBox="1"/>
      </xdr:nvSpPr>
      <xdr:spPr>
        <a:xfrm>
          <a:off x="14249400" y="3492500"/>
          <a:ext cx="2946400" cy="660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9908167D-7ABF-4F66-9D66-98088206687F}" type="TxLink">
            <a:rPr lang="en-US" sz="1600" b="1" i="0" u="none" strike="noStrike">
              <a:solidFill>
                <a:srgbClr val="1F3864"/>
              </a:solidFill>
              <a:latin typeface="Segoe UI" panose="020B0502040204020203" pitchFamily="34" charset="0"/>
              <a:ea typeface="Calibri"/>
              <a:cs typeface="Calibri"/>
            </a:rPr>
            <a:pPr algn="ctr"/>
            <a:t>13</a:t>
          </a:fld>
          <a:endParaRPr lang="hu-HU" sz="1600" b="1">
            <a:solidFill>
              <a:srgbClr val="1F3864"/>
            </a:solidFill>
            <a:latin typeface="Segoe UI" panose="020B0502040204020203" pitchFamily="34" charset="0"/>
          </a:endParaRPr>
        </a:p>
      </xdr:txBody>
    </xdr:sp>
    <xdr:clientData/>
  </xdr:twoCellAnchor>
  <xdr:twoCellAnchor>
    <xdr:from>
      <xdr:col>0</xdr:col>
      <xdr:colOff>254000</xdr:colOff>
      <xdr:row>25</xdr:row>
      <xdr:rowOff>12700</xdr:rowOff>
    </xdr:from>
    <xdr:to>
      <xdr:col>9</xdr:col>
      <xdr:colOff>355600</xdr:colOff>
      <xdr:row>43</xdr:row>
      <xdr:rowOff>149860</xdr:rowOff>
    </xdr:to>
    <xdr:sp macro="" textlink="">
      <xdr:nvSpPr>
        <xdr:cNvPr id="30" name="Rectangle: Rounded Corners 29">
          <a:extLst>
            <a:ext uri="{FF2B5EF4-FFF2-40B4-BE49-F238E27FC236}">
              <a16:creationId xmlns:a16="http://schemas.microsoft.com/office/drawing/2014/main" id="{B4878A08-C813-D3D1-E94C-4C9A6FA6E3C6}"/>
            </a:ext>
          </a:extLst>
        </xdr:cNvPr>
        <xdr:cNvSpPr/>
      </xdr:nvSpPr>
      <xdr:spPr>
        <a:xfrm>
          <a:off x="254000" y="4584700"/>
          <a:ext cx="5588000" cy="3429000"/>
        </a:xfrm>
        <a:prstGeom prst="roundRect">
          <a:avLst>
            <a:gd name="adj" fmla="val 5000"/>
          </a:avLst>
        </a:prstGeom>
        <a:solidFill>
          <a:srgbClr val="FFFFFF"/>
        </a:solidFill>
        <a:ln>
          <a:solidFill>
            <a:srgbClr val="E1E4E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0</xdr:col>
      <xdr:colOff>355600</xdr:colOff>
      <xdr:row>25</xdr:row>
      <xdr:rowOff>114300</xdr:rowOff>
    </xdr:from>
    <xdr:to>
      <xdr:col>9</xdr:col>
      <xdr:colOff>254000</xdr:colOff>
      <xdr:row>43</xdr:row>
      <xdr:rowOff>48260</xdr:rowOff>
    </xdr:to>
    <xdr:graphicFrame macro="">
      <xdr:nvGraphicFramePr>
        <xdr:cNvPr id="31" name="Chart 30">
          <a:extLst>
            <a:ext uri="{FF2B5EF4-FFF2-40B4-BE49-F238E27FC236}">
              <a16:creationId xmlns:a16="http://schemas.microsoft.com/office/drawing/2014/main" id="{D5FBB7E6-0CDD-CAD2-8892-C8295AF015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25</xdr:row>
      <xdr:rowOff>12700</xdr:rowOff>
    </xdr:from>
    <xdr:to>
      <xdr:col>19</xdr:col>
      <xdr:colOff>101600</xdr:colOff>
      <xdr:row>43</xdr:row>
      <xdr:rowOff>149860</xdr:rowOff>
    </xdr:to>
    <xdr:sp macro="" textlink="">
      <xdr:nvSpPr>
        <xdr:cNvPr id="32" name="Rectangle: Rounded Corners 31">
          <a:extLst>
            <a:ext uri="{FF2B5EF4-FFF2-40B4-BE49-F238E27FC236}">
              <a16:creationId xmlns:a16="http://schemas.microsoft.com/office/drawing/2014/main" id="{BD8354DA-CC16-6F38-611C-C8D212480359}"/>
            </a:ext>
          </a:extLst>
        </xdr:cNvPr>
        <xdr:cNvSpPr/>
      </xdr:nvSpPr>
      <xdr:spPr>
        <a:xfrm>
          <a:off x="6096000" y="4584700"/>
          <a:ext cx="5588000" cy="3429000"/>
        </a:xfrm>
        <a:prstGeom prst="roundRect">
          <a:avLst>
            <a:gd name="adj" fmla="val 5000"/>
          </a:avLst>
        </a:prstGeom>
        <a:solidFill>
          <a:srgbClr val="FFFFFF"/>
        </a:solidFill>
        <a:ln>
          <a:solidFill>
            <a:srgbClr val="E1E4E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10</xdr:col>
      <xdr:colOff>101600</xdr:colOff>
      <xdr:row>25</xdr:row>
      <xdr:rowOff>114300</xdr:rowOff>
    </xdr:from>
    <xdr:to>
      <xdr:col>19</xdr:col>
      <xdr:colOff>0</xdr:colOff>
      <xdr:row>40</xdr:row>
      <xdr:rowOff>139700</xdr:rowOff>
    </xdr:to>
    <xdr:graphicFrame macro="">
      <xdr:nvGraphicFramePr>
        <xdr:cNvPr id="33" name="Chart 32">
          <a:extLst>
            <a:ext uri="{FF2B5EF4-FFF2-40B4-BE49-F238E27FC236}">
              <a16:creationId xmlns:a16="http://schemas.microsoft.com/office/drawing/2014/main" id="{9898CCAA-43EE-153D-18A6-58973CAB7D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101600</xdr:colOff>
      <xdr:row>41</xdr:row>
      <xdr:rowOff>7620</xdr:rowOff>
    </xdr:from>
    <xdr:to>
      <xdr:col>19</xdr:col>
      <xdr:colOff>0</xdr:colOff>
      <xdr:row>43</xdr:row>
      <xdr:rowOff>73660</xdr:rowOff>
    </xdr:to>
    <xdr:sp macro="" textlink="">
      <xdr:nvSpPr>
        <xdr:cNvPr id="34" name="TextBox 33">
          <a:extLst>
            <a:ext uri="{FF2B5EF4-FFF2-40B4-BE49-F238E27FC236}">
              <a16:creationId xmlns:a16="http://schemas.microsoft.com/office/drawing/2014/main" id="{2E7E57C3-B0B5-3980-6A29-F78D85392EDC}"/>
            </a:ext>
          </a:extLst>
        </xdr:cNvPr>
        <xdr:cNvSpPr txBox="1"/>
      </xdr:nvSpPr>
      <xdr:spPr>
        <a:xfrm>
          <a:off x="6197600" y="7505700"/>
          <a:ext cx="5384800" cy="431800"/>
        </a:xfrm>
        <a:prstGeom prst="rect">
          <a:avLst/>
        </a:prstGeom>
        <a:solidFill>
          <a:srgbClr val="FFFFFF"/>
        </a:solidFill>
        <a:ln w="28575" cmpd="sng">
          <a:solidFill>
            <a:srgbClr val="B9770E"/>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hu-HU" sz="900">
              <a:solidFill>
                <a:srgbClr val="404040"/>
              </a:solidFill>
              <a:latin typeface="Segoe UI" panose="020B0502040204020203" pitchFamily="34" charset="0"/>
            </a:rPr>
            <a:t>Dip in júl. 2026: driven by a backlog in Active Directory provisioning.</a:t>
          </a:r>
        </a:p>
      </xdr:txBody>
    </xdr:sp>
    <xdr:clientData/>
  </xdr:twoCellAnchor>
  <xdr:twoCellAnchor>
    <xdr:from>
      <xdr:col>19</xdr:col>
      <xdr:colOff>355600</xdr:colOff>
      <xdr:row>25</xdr:row>
      <xdr:rowOff>12700</xdr:rowOff>
    </xdr:from>
    <xdr:to>
      <xdr:col>28</xdr:col>
      <xdr:colOff>457200</xdr:colOff>
      <xdr:row>43</xdr:row>
      <xdr:rowOff>149860</xdr:rowOff>
    </xdr:to>
    <xdr:sp macro="" textlink="">
      <xdr:nvSpPr>
        <xdr:cNvPr id="35" name="Rectangle: Rounded Corners 34">
          <a:extLst>
            <a:ext uri="{FF2B5EF4-FFF2-40B4-BE49-F238E27FC236}">
              <a16:creationId xmlns:a16="http://schemas.microsoft.com/office/drawing/2014/main" id="{2CE29F52-33FA-DA93-B13E-EE1AE71206C2}"/>
            </a:ext>
          </a:extLst>
        </xdr:cNvPr>
        <xdr:cNvSpPr/>
      </xdr:nvSpPr>
      <xdr:spPr>
        <a:xfrm>
          <a:off x="11938000" y="4584700"/>
          <a:ext cx="5588000" cy="3429000"/>
        </a:xfrm>
        <a:prstGeom prst="roundRect">
          <a:avLst>
            <a:gd name="adj" fmla="val 5000"/>
          </a:avLst>
        </a:prstGeom>
        <a:solidFill>
          <a:srgbClr val="FFFFFF"/>
        </a:solidFill>
        <a:ln>
          <a:solidFill>
            <a:srgbClr val="E1E4E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19</xdr:col>
      <xdr:colOff>457200</xdr:colOff>
      <xdr:row>25</xdr:row>
      <xdr:rowOff>114300</xdr:rowOff>
    </xdr:from>
    <xdr:to>
      <xdr:col>28</xdr:col>
      <xdr:colOff>355600</xdr:colOff>
      <xdr:row>40</xdr:row>
      <xdr:rowOff>139700</xdr:rowOff>
    </xdr:to>
    <xdr:graphicFrame macro="">
      <xdr:nvGraphicFramePr>
        <xdr:cNvPr id="36" name="Chart 35">
          <a:extLst>
            <a:ext uri="{FF2B5EF4-FFF2-40B4-BE49-F238E27FC236}">
              <a16:creationId xmlns:a16="http://schemas.microsoft.com/office/drawing/2014/main" id="{2807ECF9-FED9-12E4-038B-2A09F81BE6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457200</xdr:colOff>
      <xdr:row>41</xdr:row>
      <xdr:rowOff>7620</xdr:rowOff>
    </xdr:from>
    <xdr:to>
      <xdr:col>28</xdr:col>
      <xdr:colOff>355600</xdr:colOff>
      <xdr:row>43</xdr:row>
      <xdr:rowOff>73660</xdr:rowOff>
    </xdr:to>
    <xdr:sp macro="" textlink="">
      <xdr:nvSpPr>
        <xdr:cNvPr id="37" name="TextBox 36">
          <a:extLst>
            <a:ext uri="{FF2B5EF4-FFF2-40B4-BE49-F238E27FC236}">
              <a16:creationId xmlns:a16="http://schemas.microsoft.com/office/drawing/2014/main" id="{371BE6CD-6716-7B36-FE9E-4F8B7D030EAD}"/>
            </a:ext>
          </a:extLst>
        </xdr:cNvPr>
        <xdr:cNvSpPr txBox="1"/>
      </xdr:nvSpPr>
      <xdr:spPr>
        <a:xfrm>
          <a:off x="12039600" y="7505700"/>
          <a:ext cx="5384800" cy="431800"/>
        </a:xfrm>
        <a:prstGeom prst="rect">
          <a:avLst/>
        </a:prstGeom>
        <a:solidFill>
          <a:srgbClr val="FFFFFF"/>
        </a:solidFill>
        <a:ln w="28575" cmpd="sng">
          <a:solidFill>
            <a:srgbClr val="B9770E"/>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hu-HU" sz="900">
              <a:solidFill>
                <a:srgbClr val="404040"/>
              </a:solidFill>
              <a:latin typeface="Segoe UI" panose="020B0502040204020203" pitchFamily="34" charset="0"/>
            </a:rPr>
            <a:t>Spike in júl. 2026: seasonal offboarding following a project close-out.</a:t>
          </a:r>
        </a:p>
      </xdr:txBody>
    </xdr:sp>
    <xdr:clientData/>
  </xdr:twoCellAnchor>
  <xdr:twoCellAnchor>
    <xdr:from>
      <xdr:col>0</xdr:col>
      <xdr:colOff>254000</xdr:colOff>
      <xdr:row>45</xdr:row>
      <xdr:rowOff>38100</xdr:rowOff>
    </xdr:from>
    <xdr:to>
      <xdr:col>9</xdr:col>
      <xdr:colOff>355600</xdr:colOff>
      <xdr:row>63</xdr:row>
      <xdr:rowOff>175260</xdr:rowOff>
    </xdr:to>
    <xdr:sp macro="" textlink="">
      <xdr:nvSpPr>
        <xdr:cNvPr id="38" name="Rectangle: Rounded Corners 37">
          <a:extLst>
            <a:ext uri="{FF2B5EF4-FFF2-40B4-BE49-F238E27FC236}">
              <a16:creationId xmlns:a16="http://schemas.microsoft.com/office/drawing/2014/main" id="{F88358A2-753B-45DA-ED95-AB2248147F04}"/>
            </a:ext>
          </a:extLst>
        </xdr:cNvPr>
        <xdr:cNvSpPr/>
      </xdr:nvSpPr>
      <xdr:spPr>
        <a:xfrm>
          <a:off x="254000" y="8267700"/>
          <a:ext cx="5588000" cy="3429000"/>
        </a:xfrm>
        <a:prstGeom prst="roundRect">
          <a:avLst>
            <a:gd name="adj" fmla="val 5000"/>
          </a:avLst>
        </a:prstGeom>
        <a:solidFill>
          <a:srgbClr val="FFFFFF"/>
        </a:solidFill>
        <a:ln>
          <a:solidFill>
            <a:srgbClr val="E1E4E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0</xdr:col>
      <xdr:colOff>355600</xdr:colOff>
      <xdr:row>45</xdr:row>
      <xdr:rowOff>139700</xdr:rowOff>
    </xdr:from>
    <xdr:to>
      <xdr:col>9</xdr:col>
      <xdr:colOff>254000</xdr:colOff>
      <xdr:row>63</xdr:row>
      <xdr:rowOff>73660</xdr:rowOff>
    </xdr:to>
    <xdr:graphicFrame macro="">
      <xdr:nvGraphicFramePr>
        <xdr:cNvPr id="39" name="Chart 38">
          <a:extLst>
            <a:ext uri="{FF2B5EF4-FFF2-40B4-BE49-F238E27FC236}">
              <a16:creationId xmlns:a16="http://schemas.microsoft.com/office/drawing/2014/main" id="{F27E8937-48EB-5D5F-98D6-E4EA61BD2F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0</xdr:colOff>
      <xdr:row>45</xdr:row>
      <xdr:rowOff>38100</xdr:rowOff>
    </xdr:from>
    <xdr:to>
      <xdr:col>19</xdr:col>
      <xdr:colOff>101600</xdr:colOff>
      <xdr:row>63</xdr:row>
      <xdr:rowOff>175260</xdr:rowOff>
    </xdr:to>
    <xdr:sp macro="" textlink="">
      <xdr:nvSpPr>
        <xdr:cNvPr id="40" name="Rectangle: Rounded Corners 39">
          <a:extLst>
            <a:ext uri="{FF2B5EF4-FFF2-40B4-BE49-F238E27FC236}">
              <a16:creationId xmlns:a16="http://schemas.microsoft.com/office/drawing/2014/main" id="{C04008CA-AFEB-8243-F68A-2FD0DEFD38B8}"/>
            </a:ext>
          </a:extLst>
        </xdr:cNvPr>
        <xdr:cNvSpPr/>
      </xdr:nvSpPr>
      <xdr:spPr>
        <a:xfrm>
          <a:off x="6096000" y="8267700"/>
          <a:ext cx="5588000" cy="3429000"/>
        </a:xfrm>
        <a:prstGeom prst="roundRect">
          <a:avLst>
            <a:gd name="adj" fmla="val 5000"/>
          </a:avLst>
        </a:prstGeom>
        <a:solidFill>
          <a:srgbClr val="FFFFFF"/>
        </a:solidFill>
        <a:ln>
          <a:solidFill>
            <a:srgbClr val="E1E4E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10</xdr:col>
      <xdr:colOff>101600</xdr:colOff>
      <xdr:row>45</xdr:row>
      <xdr:rowOff>139700</xdr:rowOff>
    </xdr:from>
    <xdr:to>
      <xdr:col>19</xdr:col>
      <xdr:colOff>0</xdr:colOff>
      <xdr:row>63</xdr:row>
      <xdr:rowOff>73660</xdr:rowOff>
    </xdr:to>
    <xdr:graphicFrame macro="">
      <xdr:nvGraphicFramePr>
        <xdr:cNvPr id="41" name="Chart 40">
          <a:extLst>
            <a:ext uri="{FF2B5EF4-FFF2-40B4-BE49-F238E27FC236}">
              <a16:creationId xmlns:a16="http://schemas.microsoft.com/office/drawing/2014/main" id="{9B4379EB-0937-1C35-CB4E-489CC8C701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355600</xdr:colOff>
      <xdr:row>45</xdr:row>
      <xdr:rowOff>38100</xdr:rowOff>
    </xdr:from>
    <xdr:to>
      <xdr:col>28</xdr:col>
      <xdr:colOff>457200</xdr:colOff>
      <xdr:row>63</xdr:row>
      <xdr:rowOff>175260</xdr:rowOff>
    </xdr:to>
    <xdr:sp macro="" textlink="">
      <xdr:nvSpPr>
        <xdr:cNvPr id="42" name="Rectangle: Rounded Corners 41">
          <a:extLst>
            <a:ext uri="{FF2B5EF4-FFF2-40B4-BE49-F238E27FC236}">
              <a16:creationId xmlns:a16="http://schemas.microsoft.com/office/drawing/2014/main" id="{6CF1DC60-411D-6B8D-C0D4-3A6355E1E6C0}"/>
            </a:ext>
          </a:extLst>
        </xdr:cNvPr>
        <xdr:cNvSpPr/>
      </xdr:nvSpPr>
      <xdr:spPr>
        <a:xfrm>
          <a:off x="11938000" y="8267700"/>
          <a:ext cx="5588000" cy="3429000"/>
        </a:xfrm>
        <a:prstGeom prst="roundRect">
          <a:avLst>
            <a:gd name="adj" fmla="val 5000"/>
          </a:avLst>
        </a:prstGeom>
        <a:solidFill>
          <a:srgbClr val="FFFFFF"/>
        </a:solidFill>
        <a:ln>
          <a:solidFill>
            <a:srgbClr val="E1E4E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19</xdr:col>
      <xdr:colOff>457200</xdr:colOff>
      <xdr:row>45</xdr:row>
      <xdr:rowOff>139700</xdr:rowOff>
    </xdr:from>
    <xdr:to>
      <xdr:col>28</xdr:col>
      <xdr:colOff>355600</xdr:colOff>
      <xdr:row>63</xdr:row>
      <xdr:rowOff>73660</xdr:rowOff>
    </xdr:to>
    <xdr:graphicFrame macro="">
      <xdr:nvGraphicFramePr>
        <xdr:cNvPr id="43" name="Chart 42">
          <a:extLst>
            <a:ext uri="{FF2B5EF4-FFF2-40B4-BE49-F238E27FC236}">
              <a16:creationId xmlns:a16="http://schemas.microsoft.com/office/drawing/2014/main" id="{C0A1CAEE-7F6F-0A21-2974-57A75F9585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254000</xdr:colOff>
      <xdr:row>65</xdr:row>
      <xdr:rowOff>63500</xdr:rowOff>
    </xdr:from>
    <xdr:to>
      <xdr:col>9</xdr:col>
      <xdr:colOff>355600</xdr:colOff>
      <xdr:row>84</xdr:row>
      <xdr:rowOff>17780</xdr:rowOff>
    </xdr:to>
    <xdr:sp macro="" textlink="">
      <xdr:nvSpPr>
        <xdr:cNvPr id="44" name="Rectangle: Rounded Corners 43">
          <a:extLst>
            <a:ext uri="{FF2B5EF4-FFF2-40B4-BE49-F238E27FC236}">
              <a16:creationId xmlns:a16="http://schemas.microsoft.com/office/drawing/2014/main" id="{B2AEA0F5-7B23-00C2-D1F4-2EC3E87CD833}"/>
            </a:ext>
          </a:extLst>
        </xdr:cNvPr>
        <xdr:cNvSpPr/>
      </xdr:nvSpPr>
      <xdr:spPr>
        <a:xfrm>
          <a:off x="254000" y="11950700"/>
          <a:ext cx="5588000" cy="3429000"/>
        </a:xfrm>
        <a:prstGeom prst="roundRect">
          <a:avLst>
            <a:gd name="adj" fmla="val 5000"/>
          </a:avLst>
        </a:prstGeom>
        <a:solidFill>
          <a:srgbClr val="FFFFFF"/>
        </a:solidFill>
        <a:ln>
          <a:solidFill>
            <a:srgbClr val="E1E4E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0</xdr:col>
      <xdr:colOff>355600</xdr:colOff>
      <xdr:row>65</xdr:row>
      <xdr:rowOff>165100</xdr:rowOff>
    </xdr:from>
    <xdr:to>
      <xdr:col>9</xdr:col>
      <xdr:colOff>254000</xdr:colOff>
      <xdr:row>83</xdr:row>
      <xdr:rowOff>99060</xdr:rowOff>
    </xdr:to>
    <xdr:graphicFrame macro="">
      <xdr:nvGraphicFramePr>
        <xdr:cNvPr id="45" name="Chart 44">
          <a:extLst>
            <a:ext uri="{FF2B5EF4-FFF2-40B4-BE49-F238E27FC236}">
              <a16:creationId xmlns:a16="http://schemas.microsoft.com/office/drawing/2014/main" id="{F2DA819E-ECDD-A79D-F8FA-284DFA61B2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0</xdr:colOff>
      <xdr:row>65</xdr:row>
      <xdr:rowOff>63500</xdr:rowOff>
    </xdr:from>
    <xdr:to>
      <xdr:col>19</xdr:col>
      <xdr:colOff>101600</xdr:colOff>
      <xdr:row>84</xdr:row>
      <xdr:rowOff>17780</xdr:rowOff>
    </xdr:to>
    <xdr:sp macro="" textlink="">
      <xdr:nvSpPr>
        <xdr:cNvPr id="46" name="Rectangle: Rounded Corners 45">
          <a:extLst>
            <a:ext uri="{FF2B5EF4-FFF2-40B4-BE49-F238E27FC236}">
              <a16:creationId xmlns:a16="http://schemas.microsoft.com/office/drawing/2014/main" id="{87D2FBCB-753B-7F2A-4D7F-C4C6553FAAB7}"/>
            </a:ext>
          </a:extLst>
        </xdr:cNvPr>
        <xdr:cNvSpPr/>
      </xdr:nvSpPr>
      <xdr:spPr>
        <a:xfrm>
          <a:off x="6096000" y="11950700"/>
          <a:ext cx="5588000" cy="3429000"/>
        </a:xfrm>
        <a:prstGeom prst="roundRect">
          <a:avLst>
            <a:gd name="adj" fmla="val 5000"/>
          </a:avLst>
        </a:prstGeom>
        <a:solidFill>
          <a:srgbClr val="FFFFFF"/>
        </a:solidFill>
        <a:ln>
          <a:solidFill>
            <a:srgbClr val="E1E4E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10</xdr:col>
      <xdr:colOff>101600</xdr:colOff>
      <xdr:row>65</xdr:row>
      <xdr:rowOff>165100</xdr:rowOff>
    </xdr:from>
    <xdr:to>
      <xdr:col>19</xdr:col>
      <xdr:colOff>0</xdr:colOff>
      <xdr:row>83</xdr:row>
      <xdr:rowOff>99060</xdr:rowOff>
    </xdr:to>
    <xdr:graphicFrame macro="">
      <xdr:nvGraphicFramePr>
        <xdr:cNvPr id="47" name="Chart 46">
          <a:extLst>
            <a:ext uri="{FF2B5EF4-FFF2-40B4-BE49-F238E27FC236}">
              <a16:creationId xmlns:a16="http://schemas.microsoft.com/office/drawing/2014/main" id="{C366EB17-BF27-9CEF-6370-09BAAA970E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19</xdr:col>
      <xdr:colOff>355600</xdr:colOff>
      <xdr:row>65</xdr:row>
      <xdr:rowOff>63500</xdr:rowOff>
    </xdr:from>
    <xdr:to>
      <xdr:col>28</xdr:col>
      <xdr:colOff>457200</xdr:colOff>
      <xdr:row>84</xdr:row>
      <xdr:rowOff>17780</xdr:rowOff>
    </xdr:to>
    <xdr:sp macro="" textlink="">
      <xdr:nvSpPr>
        <xdr:cNvPr id="48" name="Rectangle: Rounded Corners 47">
          <a:extLst>
            <a:ext uri="{FF2B5EF4-FFF2-40B4-BE49-F238E27FC236}">
              <a16:creationId xmlns:a16="http://schemas.microsoft.com/office/drawing/2014/main" id="{31D9872A-9468-3F5F-D190-F559A99802E4}"/>
            </a:ext>
          </a:extLst>
        </xdr:cNvPr>
        <xdr:cNvSpPr/>
      </xdr:nvSpPr>
      <xdr:spPr>
        <a:xfrm>
          <a:off x="11938000" y="11950700"/>
          <a:ext cx="5588000" cy="3429000"/>
        </a:xfrm>
        <a:prstGeom prst="roundRect">
          <a:avLst>
            <a:gd name="adj" fmla="val 5000"/>
          </a:avLst>
        </a:prstGeom>
        <a:solidFill>
          <a:srgbClr val="FFFFFF"/>
        </a:solidFill>
        <a:ln>
          <a:solidFill>
            <a:srgbClr val="E1E4E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19</xdr:col>
      <xdr:colOff>533400</xdr:colOff>
      <xdr:row>66</xdr:row>
      <xdr:rowOff>7620</xdr:rowOff>
    </xdr:from>
    <xdr:to>
      <xdr:col>28</xdr:col>
      <xdr:colOff>279400</xdr:colOff>
      <xdr:row>67</xdr:row>
      <xdr:rowOff>27940</xdr:rowOff>
    </xdr:to>
    <xdr:sp macro="" textlink="">
      <xdr:nvSpPr>
        <xdr:cNvPr id="49" name="TextBox 48">
          <a:extLst>
            <a:ext uri="{FF2B5EF4-FFF2-40B4-BE49-F238E27FC236}">
              <a16:creationId xmlns:a16="http://schemas.microsoft.com/office/drawing/2014/main" id="{F11D21F2-84E1-D74D-6169-0097CBFA591E}"/>
            </a:ext>
          </a:extLst>
        </xdr:cNvPr>
        <xdr:cNvSpPr txBox="1"/>
      </xdr:nvSpPr>
      <xdr:spPr>
        <a:xfrm>
          <a:off x="12115800" y="12077700"/>
          <a:ext cx="52324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hu-HU" sz="950" b="1">
              <a:solidFill>
                <a:srgbClr val="6B7280"/>
              </a:solidFill>
              <a:latin typeface="Segoe UI" panose="020B0502040204020203" pitchFamily="34" charset="0"/>
            </a:rPr>
            <a:t>DATA DISCREPANCY FLAG LIST</a:t>
          </a:r>
        </a:p>
      </xdr:txBody>
    </xdr:sp>
    <xdr:clientData/>
  </xdr:twoCellAnchor>
  <xdr:twoCellAnchor>
    <xdr:from>
      <xdr:col>19</xdr:col>
      <xdr:colOff>533400</xdr:colOff>
      <xdr:row>67</xdr:row>
      <xdr:rowOff>104140</xdr:rowOff>
    </xdr:from>
    <xdr:to>
      <xdr:col>28</xdr:col>
      <xdr:colOff>279400</xdr:colOff>
      <xdr:row>81</xdr:row>
      <xdr:rowOff>83820</xdr:rowOff>
    </xdr:to>
    <xdr:sp macro="" textlink="">
      <xdr:nvSpPr>
        <xdr:cNvPr id="50" name="TextBox 49">
          <a:extLst>
            <a:ext uri="{FF2B5EF4-FFF2-40B4-BE49-F238E27FC236}">
              <a16:creationId xmlns:a16="http://schemas.microsoft.com/office/drawing/2014/main" id="{9F368C59-FC65-7F90-F290-C470AC69C33C}"/>
            </a:ext>
          </a:extLst>
        </xdr:cNvPr>
        <xdr:cNvSpPr txBox="1"/>
      </xdr:nvSpPr>
      <xdr:spPr>
        <a:xfrm>
          <a:off x="12115800" y="12357100"/>
          <a:ext cx="5232400" cy="2540000"/>
        </a:xfrm>
        <a:prstGeom prst="rect">
          <a:avLst/>
        </a:prstGeom>
        <a:solidFill>
          <a:schemeClr val="accent1">
            <a:lumMod val="20000"/>
            <a:lumOff val="8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hu-HU" sz="900">
              <a:solidFill>
                <a:srgbClr val="404040"/>
              </a:solidFill>
              <a:latin typeface="Segoe UI" panose="020B0502040204020203" pitchFamily="34" charset="0"/>
            </a:rPr>
            <a:t>Laura Edwards  -  Insight Global  -  Termination Lag</a:t>
          </a:r>
        </a:p>
        <a:p>
          <a:r>
            <a:rPr lang="hu-HU" sz="900">
              <a:solidFill>
                <a:srgbClr val="404040"/>
              </a:solidFill>
              <a:latin typeface="Segoe UI" panose="020B0502040204020203" pitchFamily="34" charset="0"/>
            </a:rPr>
            <a:t>Maria Robinson  -  Apex Systems  -  Termination Lag</a:t>
          </a:r>
        </a:p>
        <a:p>
          <a:r>
            <a:rPr lang="hu-HU" sz="900">
              <a:solidFill>
                <a:srgbClr val="404040"/>
              </a:solidFill>
              <a:latin typeface="Segoe UI" panose="020B0502040204020203" pitchFamily="34" charset="0"/>
            </a:rPr>
            <a:t>James Martinez  -  Insight Global  -  Duplicate Active Record</a:t>
          </a:r>
        </a:p>
        <a:p>
          <a:r>
            <a:rPr lang="hu-HU" sz="900">
              <a:solidFill>
                <a:srgbClr val="404040"/>
              </a:solidFill>
              <a:latin typeface="Segoe UI" panose="020B0502040204020203" pitchFamily="34" charset="0"/>
            </a:rPr>
            <a:t>Amanda Clark  -  Robert Half Technology  -  Duplicate Active Record</a:t>
          </a:r>
        </a:p>
        <a:p>
          <a:r>
            <a:rPr lang="hu-HU" sz="900">
              <a:solidFill>
                <a:srgbClr val="404040"/>
              </a:solidFill>
              <a:latin typeface="Segoe UI" panose="020B0502040204020203" pitchFamily="34" charset="0"/>
            </a:rPr>
            <a:t>Matthew Walker  -  Insight Global  -  Duplicate Active Record</a:t>
          </a:r>
        </a:p>
        <a:p>
          <a:r>
            <a:rPr lang="hu-HU" sz="900">
              <a:solidFill>
                <a:srgbClr val="404040"/>
              </a:solidFill>
              <a:latin typeface="Segoe UI" panose="020B0502040204020203" pitchFamily="34" charset="0"/>
            </a:rPr>
            <a:t>James Collins  -  ManpowerGroup  -  Missing VMS Record</a:t>
          </a:r>
        </a:p>
        <a:p>
          <a:r>
            <a:rPr lang="hu-HU" sz="900">
              <a:solidFill>
                <a:srgbClr val="404040"/>
              </a:solidFill>
              <a:latin typeface="Segoe UI" panose="020B0502040204020203" pitchFamily="34" charset="0"/>
            </a:rPr>
            <a:t>Jessica Thompson  -  Randstad Technologies  -  Termination Lag</a:t>
          </a:r>
        </a:p>
        <a:p>
          <a:r>
            <a:rPr lang="hu-HU" sz="900">
              <a:solidFill>
                <a:srgbClr val="404040"/>
              </a:solidFill>
              <a:latin typeface="Segoe UI" panose="020B0502040204020203" pitchFamily="34" charset="0"/>
            </a:rPr>
            <a:t>Charles Adams  -  ManpowerGroup  -  Duplicate Active Record</a:t>
          </a:r>
        </a:p>
        <a:p>
          <a:r>
            <a:rPr lang="hu-HU" sz="900">
              <a:solidFill>
                <a:srgbClr val="404040"/>
              </a:solidFill>
              <a:latin typeface="Segoe UI" panose="020B0502040204020203" pitchFamily="34" charset="0"/>
            </a:rPr>
            <a:t>Ashley Rodriguez  -  Yoh Managed Solutions  -  Duplicate Active Record</a:t>
          </a:r>
        </a:p>
      </xdr:txBody>
    </xdr:sp>
    <xdr:clientData/>
  </xdr:twoCellAnchor>
  <xdr:twoCellAnchor>
    <xdr:from>
      <xdr:col>19</xdr:col>
      <xdr:colOff>533400</xdr:colOff>
      <xdr:row>82</xdr:row>
      <xdr:rowOff>2540</xdr:rowOff>
    </xdr:from>
    <xdr:to>
      <xdr:col>28</xdr:col>
      <xdr:colOff>279400</xdr:colOff>
      <xdr:row>83</xdr:row>
      <xdr:rowOff>48260</xdr:rowOff>
    </xdr:to>
    <xdr:sp macro="" textlink="">
      <xdr:nvSpPr>
        <xdr:cNvPr id="51" name="TextBox 50">
          <a:extLst>
            <a:ext uri="{FF2B5EF4-FFF2-40B4-BE49-F238E27FC236}">
              <a16:creationId xmlns:a16="http://schemas.microsoft.com/office/drawing/2014/main" id="{21A6C852-3F93-F6A2-F114-752214B043B0}"/>
            </a:ext>
          </a:extLst>
        </xdr:cNvPr>
        <xdr:cNvSpPr txBox="1"/>
      </xdr:nvSpPr>
      <xdr:spPr>
        <a:xfrm>
          <a:off x="12115800" y="14998700"/>
          <a:ext cx="52324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hu-HU" sz="800" i="1">
              <a:solidFill>
                <a:srgbClr val="6B7280"/>
              </a:solidFill>
              <a:latin typeface="Segoe UI" panose="020B0502040204020203" pitchFamily="34" charset="0"/>
            </a:rPr>
            <a:t>Full list (13 flagged) on the Discrepancies sheet - not slicer-filtered.</a:t>
          </a:r>
        </a:p>
      </xdr:txBody>
    </xdr:sp>
    <xdr:clientData/>
  </xdr:twoCellAnchor>
  <xdr:twoCellAnchor>
    <xdr:from>
      <xdr:col>0</xdr:col>
      <xdr:colOff>304803</xdr:colOff>
      <xdr:row>85</xdr:row>
      <xdr:rowOff>98612</xdr:rowOff>
    </xdr:from>
    <xdr:to>
      <xdr:col>9</xdr:col>
      <xdr:colOff>293915</xdr:colOff>
      <xdr:row>108</xdr:row>
      <xdr:rowOff>21772</xdr:rowOff>
    </xdr:to>
    <mc:AlternateContent xmlns:mc="http://schemas.openxmlformats.org/markup-compatibility/2006">
      <mc:Choice xmlns:cx4="http://schemas.microsoft.com/office/drawing/2016/5/10/chartex" Requires="cx4">
        <xdr:graphicFrame macro="">
          <xdr:nvGraphicFramePr>
            <xdr:cNvPr id="52" name="Chart 51">
              <a:extLst>
                <a:ext uri="{FF2B5EF4-FFF2-40B4-BE49-F238E27FC236}">
                  <a16:creationId xmlns:a16="http://schemas.microsoft.com/office/drawing/2014/main" id="{2AEA237B-D2C5-47AD-89EB-AD80C4DBC90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304803" y="15643412"/>
              <a:ext cx="5475512" cy="4129400"/>
            </a:xfrm>
            <a:prstGeom prst="rect">
              <a:avLst/>
            </a:prstGeom>
            <a:solidFill>
              <a:prstClr val="white"/>
            </a:solidFill>
            <a:ln w="1">
              <a:solidFill>
                <a:prstClr val="green"/>
              </a:solidFill>
            </a:ln>
          </xdr:spPr>
          <xdr:txBody>
            <a:bodyPr vertOverflow="clip" horzOverflow="clip"/>
            <a:lstStyle/>
            <a:p>
              <a:r>
                <a:rPr lang="hu-HU"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1222827</xdr:colOff>
      <xdr:row>6</xdr:row>
      <xdr:rowOff>152400</xdr:rowOff>
    </xdr:from>
    <xdr:to>
      <xdr:col>17</xdr:col>
      <xdr:colOff>489856</xdr:colOff>
      <xdr:row>14</xdr:row>
      <xdr:rowOff>145143</xdr:rowOff>
    </xdr:to>
    <mc:AlternateContent xmlns:mc="http://schemas.openxmlformats.org/markup-compatibility/2006" xmlns:a14="http://schemas.microsoft.com/office/drawing/2010/main">
      <mc:Choice Requires="a14">
        <xdr:graphicFrame macro="">
          <xdr:nvGraphicFramePr>
            <xdr:cNvPr id="53" name="Age">
              <a:extLst>
                <a:ext uri="{FF2B5EF4-FFF2-40B4-BE49-F238E27FC236}">
                  <a16:creationId xmlns:a16="http://schemas.microsoft.com/office/drawing/2014/main" id="{6DEF5A8C-B1F2-9D56-1DB9-BBF798DA7E28}"/>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10149113" y="1262743"/>
              <a:ext cx="2794000" cy="1473200"/>
            </a:xfrm>
            <a:prstGeom prst="rect">
              <a:avLst/>
            </a:prstGeom>
            <a:solidFill>
              <a:prstClr val="white"/>
            </a:solidFill>
            <a:ln w="1">
              <a:solidFill>
                <a:prstClr val="green"/>
              </a:solidFill>
            </a:ln>
          </xdr:spPr>
          <xdr:txBody>
            <a:bodyPr vertOverflow="clip" horzOverflow="clip"/>
            <a:lstStyle/>
            <a:p>
              <a:r>
                <a:rPr lang="hu-H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47170</xdr:colOff>
      <xdr:row>6</xdr:row>
      <xdr:rowOff>152400</xdr:rowOff>
    </xdr:from>
    <xdr:to>
      <xdr:col>22</xdr:col>
      <xdr:colOff>402770</xdr:colOff>
      <xdr:row>14</xdr:row>
      <xdr:rowOff>145143</xdr:rowOff>
    </xdr:to>
    <mc:AlternateContent xmlns:mc="http://schemas.openxmlformats.org/markup-compatibility/2006" xmlns:a14="http://schemas.microsoft.com/office/drawing/2010/main">
      <mc:Choice Requires="a14">
        <xdr:graphicFrame macro="">
          <xdr:nvGraphicFramePr>
            <xdr:cNvPr id="54" name="Tenure">
              <a:extLst>
                <a:ext uri="{FF2B5EF4-FFF2-40B4-BE49-F238E27FC236}">
                  <a16:creationId xmlns:a16="http://schemas.microsoft.com/office/drawing/2014/main" id="{B305F484-8B79-C3A6-4D0B-23ABE95CB9E8}"/>
                </a:ext>
              </a:extLst>
            </xdr:cNvPr>
            <xdr:cNvGraphicFramePr/>
          </xdr:nvGraphicFramePr>
          <xdr:xfrm>
            <a:off x="0" y="0"/>
            <a:ext cx="0" cy="0"/>
          </xdr:xfrm>
          <a:graphic>
            <a:graphicData uri="http://schemas.microsoft.com/office/drawing/2010/slicer">
              <sle:slicer xmlns:sle="http://schemas.microsoft.com/office/drawing/2010/slicer" name="Tenure"/>
            </a:graphicData>
          </a:graphic>
        </xdr:graphicFrame>
      </mc:Choice>
      <mc:Fallback xmlns="">
        <xdr:sp macro="" textlink="">
          <xdr:nvSpPr>
            <xdr:cNvPr id="0" name=""/>
            <xdr:cNvSpPr>
              <a:spLocks noTextEdit="1"/>
            </xdr:cNvSpPr>
          </xdr:nvSpPr>
          <xdr:spPr>
            <a:xfrm>
              <a:off x="13110027" y="1262743"/>
              <a:ext cx="2794000" cy="1473200"/>
            </a:xfrm>
            <a:prstGeom prst="rect">
              <a:avLst/>
            </a:prstGeom>
            <a:solidFill>
              <a:prstClr val="white"/>
            </a:solidFill>
            <a:ln w="1">
              <a:solidFill>
                <a:prstClr val="green"/>
              </a:solidFill>
            </a:ln>
          </xdr:spPr>
          <xdr:txBody>
            <a:bodyPr vertOverflow="clip" horzOverflow="clip"/>
            <a:lstStyle/>
            <a:p>
              <a:r>
                <a:rPr lang="hu-H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381000</xdr:colOff>
      <xdr:row>1</xdr:row>
      <xdr:rowOff>7620</xdr:rowOff>
    </xdr:from>
    <xdr:to>
      <xdr:col>28</xdr:col>
      <xdr:colOff>457200</xdr:colOff>
      <xdr:row>3</xdr:row>
      <xdr:rowOff>124460</xdr:rowOff>
    </xdr:to>
    <xdr:sp macro="ResetAllSlicers" textlink="">
      <xdr:nvSpPr>
        <xdr:cNvPr id="55" name="btnResetFilters">
          <a:extLst>
            <a:ext uri="{FF2B5EF4-FFF2-40B4-BE49-F238E27FC236}">
              <a16:creationId xmlns:a16="http://schemas.microsoft.com/office/drawing/2014/main" id="{EEBD8437-FAD7-2A76-9C51-7EBBFA205963}"/>
            </a:ext>
          </a:extLst>
        </xdr:cNvPr>
        <xdr:cNvSpPr/>
      </xdr:nvSpPr>
      <xdr:spPr>
        <a:xfrm>
          <a:off x="15621000" y="190500"/>
          <a:ext cx="1905000" cy="482600"/>
        </a:xfrm>
        <a:prstGeom prst="roundRect">
          <a:avLst/>
        </a:prstGeom>
        <a:solidFill>
          <a:srgbClr val="FFFFFF"/>
        </a:solidFill>
        <a:ln w="15875">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100" b="1">
              <a:solidFill>
                <a:srgbClr val="1F3864"/>
              </a:solidFill>
              <a:latin typeface="Segoe UI" panose="020B0502040204020203" pitchFamily="34" charset="0"/>
            </a:rPr>
            <a:t>Reset Filters</a:t>
          </a:r>
        </a:p>
      </xdr:txBody>
    </xdr:sp>
    <xdr:clientData/>
  </xdr:twoCellAnchor>
  <xdr:twoCellAnchor>
    <xdr:from>
      <xdr:col>11</xdr:col>
      <xdr:colOff>0</xdr:colOff>
      <xdr:row>82</xdr:row>
      <xdr:rowOff>2540</xdr:rowOff>
    </xdr:from>
    <xdr:to>
      <xdr:col>14</xdr:col>
      <xdr:colOff>358140</xdr:colOff>
      <xdr:row>83</xdr:row>
      <xdr:rowOff>48260</xdr:rowOff>
    </xdr:to>
    <xdr:sp macro="" textlink="">
      <xdr:nvSpPr>
        <xdr:cNvPr id="56" name="TextBox_ContractorDetailsLabel">
          <a:extLst>
            <a:ext uri="{FF2B5EF4-FFF2-40B4-BE49-F238E27FC236}">
              <a16:creationId xmlns:a16="http://schemas.microsoft.com/office/drawing/2014/main" id="{21DDDD11-6E8A-E98F-CF5A-8D973BB97581}"/>
            </a:ext>
          </a:extLst>
        </xdr:cNvPr>
        <xdr:cNvSpPr txBox="1"/>
      </xdr:nvSpPr>
      <xdr:spPr>
        <a:xfrm>
          <a:off x="6705600" y="14998700"/>
          <a:ext cx="3810000" cy="228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hu-HU" sz="900" b="1">
              <a:solidFill>
                <a:srgbClr val="6B7280"/>
              </a:solidFill>
              <a:latin typeface="Segoe UI" panose="020B0502040204020203" pitchFamily="34" charset="0"/>
            </a:rPr>
            <a:t>CONTRACTOR DETAILS</a:t>
          </a:r>
        </a:p>
      </xdr:txBody>
    </xdr:sp>
    <xdr:clientData/>
  </xdr:twoCellAnchor>
  <xdr:twoCellAnchor>
    <xdr:from>
      <xdr:col>19</xdr:col>
      <xdr:colOff>561340</xdr:colOff>
      <xdr:row>0</xdr:row>
      <xdr:rowOff>114300</xdr:rowOff>
    </xdr:from>
    <xdr:to>
      <xdr:col>25</xdr:col>
      <xdr:colOff>205740</xdr:colOff>
      <xdr:row>4</xdr:row>
      <xdr:rowOff>17780</xdr:rowOff>
    </xdr:to>
    <xdr:sp macro="" textlink="">
      <xdr:nvSpPr>
        <xdr:cNvPr id="57" name="ClockDisplay">
          <a:extLst>
            <a:ext uri="{FF2B5EF4-FFF2-40B4-BE49-F238E27FC236}">
              <a16:creationId xmlns:a16="http://schemas.microsoft.com/office/drawing/2014/main" id="{BD06568E-522C-F71D-23E7-B2F92667849C}"/>
            </a:ext>
          </a:extLst>
        </xdr:cNvPr>
        <xdr:cNvSpPr txBox="1"/>
      </xdr:nvSpPr>
      <xdr:spPr>
        <a:xfrm>
          <a:off x="14224000" y="114300"/>
          <a:ext cx="3302000" cy="635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lstStyle/>
        <a:p>
          <a:pPr algn="ctr"/>
          <a:r>
            <a:rPr lang="hu-HU" sz="1500" b="1">
              <a:solidFill>
                <a:srgbClr val="FFFFFF"/>
              </a:solidFill>
              <a:latin typeface="Segoe UI" panose="020B0502040204020203" pitchFamily="34" charset="0"/>
            </a:rPr>
            <a:t>14:18:36 ET</a:t>
          </a:r>
        </a:p>
        <a:p>
          <a:pPr algn="ctr"/>
          <a:r>
            <a:rPr lang="hu-HU" sz="1100" b="0">
              <a:solidFill>
                <a:srgbClr val="E2E2FE"/>
              </a:solidFill>
              <a:latin typeface="Segoe UI" panose="020B0502040204020203" pitchFamily="34" charset="0"/>
            </a:rPr>
            <a:t>20:18:36 HU</a:t>
          </a:r>
        </a:p>
      </xdr:txBody>
    </xdr:sp>
    <xdr:clientData/>
  </xdr:twoCellAnchor>
  <xdr:twoCellAnchor>
    <xdr:from>
      <xdr:col>15</xdr:col>
      <xdr:colOff>195944</xdr:colOff>
      <xdr:row>1</xdr:row>
      <xdr:rowOff>10886</xdr:rowOff>
    </xdr:from>
    <xdr:to>
      <xdr:col>19</xdr:col>
      <xdr:colOff>359230</xdr:colOff>
      <xdr:row>3</xdr:row>
      <xdr:rowOff>127726</xdr:rowOff>
    </xdr:to>
    <xdr:sp macro="ResetAllSlicers" textlink="">
      <xdr:nvSpPr>
        <xdr:cNvPr id="58" name="btnResetFilters">
          <a:hlinkClick xmlns:r="http://schemas.openxmlformats.org/officeDocument/2006/relationships" r:id="rId10"/>
          <a:extLst>
            <a:ext uri="{FF2B5EF4-FFF2-40B4-BE49-F238E27FC236}">
              <a16:creationId xmlns:a16="http://schemas.microsoft.com/office/drawing/2014/main" id="{9E567126-CCC7-400A-ADB0-6804E4EDA11D}"/>
            </a:ext>
          </a:extLst>
        </xdr:cNvPr>
        <xdr:cNvSpPr/>
      </xdr:nvSpPr>
      <xdr:spPr>
        <a:xfrm>
          <a:off x="11430001" y="195943"/>
          <a:ext cx="2601686" cy="486954"/>
        </a:xfrm>
        <a:prstGeom prst="roundRect">
          <a:avLst/>
        </a:prstGeom>
        <a:solidFill>
          <a:srgbClr val="FFFFFF"/>
        </a:solidFill>
        <a:ln w="15875">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600" b="1">
              <a:solidFill>
                <a:srgbClr val="1F3864"/>
              </a:solidFill>
              <a:latin typeface="Segoe UI" panose="020B0502040204020203" pitchFamily="34" charset="0"/>
            </a:rPr>
            <a:t>Bottlenecks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261257</xdr:colOff>
      <xdr:row>0</xdr:row>
      <xdr:rowOff>108857</xdr:rowOff>
    </xdr:from>
    <xdr:to>
      <xdr:col>25</xdr:col>
      <xdr:colOff>152401</xdr:colOff>
      <xdr:row>4</xdr:row>
      <xdr:rowOff>132080</xdr:rowOff>
    </xdr:to>
    <xdr:sp macro="" textlink="">
      <xdr:nvSpPr>
        <xdr:cNvPr id="2" name="Rectangle_Header">
          <a:extLst>
            <a:ext uri="{FF2B5EF4-FFF2-40B4-BE49-F238E27FC236}">
              <a16:creationId xmlns:a16="http://schemas.microsoft.com/office/drawing/2014/main" id="{EC1F042F-4DCC-A3E8-023C-A34598B9B7C5}"/>
            </a:ext>
          </a:extLst>
        </xdr:cNvPr>
        <xdr:cNvSpPr/>
      </xdr:nvSpPr>
      <xdr:spPr>
        <a:xfrm>
          <a:off x="261257" y="108857"/>
          <a:ext cx="15131144" cy="763452"/>
        </a:xfrm>
        <a:prstGeom prst="rect">
          <a:avLst/>
        </a:prstGeom>
        <a:solidFill>
          <a:srgbClr val="002060"/>
        </a:solidFill>
        <a:ln w="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0</xdr:col>
      <xdr:colOff>304800</xdr:colOff>
      <xdr:row>0</xdr:row>
      <xdr:rowOff>101600</xdr:rowOff>
    </xdr:from>
    <xdr:to>
      <xdr:col>15</xdr:col>
      <xdr:colOff>50800</xdr:colOff>
      <xdr:row>2</xdr:row>
      <xdr:rowOff>167640</xdr:rowOff>
    </xdr:to>
    <xdr:sp macro="" textlink="">
      <xdr:nvSpPr>
        <xdr:cNvPr id="3" name="TextBox_Title">
          <a:extLst>
            <a:ext uri="{FF2B5EF4-FFF2-40B4-BE49-F238E27FC236}">
              <a16:creationId xmlns:a16="http://schemas.microsoft.com/office/drawing/2014/main" id="{721CD605-1C29-1668-64C5-882EB841EABA}"/>
            </a:ext>
          </a:extLst>
        </xdr:cNvPr>
        <xdr:cNvSpPr txBox="1"/>
      </xdr:nvSpPr>
      <xdr:spPr>
        <a:xfrm>
          <a:off x="304800" y="101600"/>
          <a:ext cx="8890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r>
            <a:rPr lang="hu-HU" sz="2200" b="1">
              <a:solidFill>
                <a:srgbClr val="FFFFFF"/>
              </a:solidFill>
              <a:latin typeface="Segoe UI" panose="020B0502040204020203" pitchFamily="34" charset="0"/>
            </a:rPr>
            <a:t>Bottleneck Insights</a:t>
          </a:r>
        </a:p>
      </xdr:txBody>
    </xdr:sp>
    <xdr:clientData/>
  </xdr:twoCellAnchor>
  <xdr:twoCellAnchor>
    <xdr:from>
      <xdr:col>0</xdr:col>
      <xdr:colOff>304800</xdr:colOff>
      <xdr:row>2</xdr:row>
      <xdr:rowOff>142240</xdr:rowOff>
    </xdr:from>
    <xdr:to>
      <xdr:col>21</xdr:col>
      <xdr:colOff>203200</xdr:colOff>
      <xdr:row>4</xdr:row>
      <xdr:rowOff>55880</xdr:rowOff>
    </xdr:to>
    <xdr:sp macro="" textlink="">
      <xdr:nvSpPr>
        <xdr:cNvPr id="4" name="TextBox_Subtitle">
          <a:extLst>
            <a:ext uri="{FF2B5EF4-FFF2-40B4-BE49-F238E27FC236}">
              <a16:creationId xmlns:a16="http://schemas.microsoft.com/office/drawing/2014/main" id="{53AB9C02-40CE-8C90-84B5-E5EF7F55488D}"/>
            </a:ext>
          </a:extLst>
        </xdr:cNvPr>
        <xdr:cNvSpPr txBox="1"/>
      </xdr:nvSpPr>
      <xdr:spPr>
        <a:xfrm>
          <a:off x="304800" y="508000"/>
          <a:ext cx="1270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hu-HU" sz="1150" b="0">
              <a:solidFill>
                <a:srgbClr val="E6E6E6"/>
              </a:solidFill>
              <a:latin typeface="Segoe UI" panose="020B0502040204020203" pitchFamily="34" charset="0"/>
            </a:rPr>
            <a:t>Four operational bottlenecks identified in the contractor data, with root causes and recommended actions.</a:t>
          </a:r>
        </a:p>
      </xdr:txBody>
    </xdr:sp>
    <xdr:clientData/>
  </xdr:twoCellAnchor>
  <xdr:twoCellAnchor>
    <xdr:from>
      <xdr:col>0</xdr:col>
      <xdr:colOff>254000</xdr:colOff>
      <xdr:row>6</xdr:row>
      <xdr:rowOff>172720</xdr:rowOff>
    </xdr:from>
    <xdr:to>
      <xdr:col>16</xdr:col>
      <xdr:colOff>50800</xdr:colOff>
      <xdr:row>37</xdr:row>
      <xdr:rowOff>141515</xdr:rowOff>
    </xdr:to>
    <xdr:sp macro="" textlink="">
      <xdr:nvSpPr>
        <xdr:cNvPr id="5" name="card_Stage2">
          <a:extLst>
            <a:ext uri="{FF2B5EF4-FFF2-40B4-BE49-F238E27FC236}">
              <a16:creationId xmlns:a16="http://schemas.microsoft.com/office/drawing/2014/main" id="{A18D20C1-5C29-EFD8-ABDB-B7BEDDBD3621}"/>
            </a:ext>
          </a:extLst>
        </xdr:cNvPr>
        <xdr:cNvSpPr/>
      </xdr:nvSpPr>
      <xdr:spPr>
        <a:xfrm>
          <a:off x="254000" y="1283063"/>
          <a:ext cx="9550400" cy="5705566"/>
        </a:xfrm>
        <a:prstGeom prst="roundRect">
          <a:avLst/>
        </a:prstGeom>
        <a:solidFill>
          <a:srgbClr val="002060"/>
        </a:solidFill>
        <a:ln w="12700">
          <a:solidFill>
            <a:srgbClr val="E1E4E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1</xdr:col>
      <xdr:colOff>239486</xdr:colOff>
      <xdr:row>7</xdr:row>
      <xdr:rowOff>130630</xdr:rowOff>
    </xdr:from>
    <xdr:to>
      <xdr:col>15</xdr:col>
      <xdr:colOff>304800</xdr:colOff>
      <xdr:row>9</xdr:row>
      <xdr:rowOff>32657</xdr:rowOff>
    </xdr:to>
    <xdr:sp macro="" textlink="">
      <xdr:nvSpPr>
        <xdr:cNvPr id="6" name="TextBox 5">
          <a:extLst>
            <a:ext uri="{FF2B5EF4-FFF2-40B4-BE49-F238E27FC236}">
              <a16:creationId xmlns:a16="http://schemas.microsoft.com/office/drawing/2014/main" id="{C7FAEC92-4B3F-DA53-E2F8-CA441B906DFF}"/>
            </a:ext>
          </a:extLst>
        </xdr:cNvPr>
        <xdr:cNvSpPr txBox="1"/>
      </xdr:nvSpPr>
      <xdr:spPr>
        <a:xfrm>
          <a:off x="849086" y="1426030"/>
          <a:ext cx="8599714" cy="2721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hu-HU" sz="1050" b="1">
              <a:solidFill>
                <a:schemeClr val="bg1"/>
              </a:solidFill>
              <a:latin typeface="Segoe UI" panose="020B0502040204020203" pitchFamily="34" charset="0"/>
            </a:rPr>
            <a:t>FINDING 1  -  ONBOARDING STAGE 2 BOTTLENECK</a:t>
          </a:r>
        </a:p>
      </xdr:txBody>
    </xdr:sp>
    <xdr:clientData/>
  </xdr:twoCellAnchor>
  <xdr:twoCellAnchor>
    <xdr:from>
      <xdr:col>0</xdr:col>
      <xdr:colOff>587829</xdr:colOff>
      <xdr:row>9</xdr:row>
      <xdr:rowOff>119743</xdr:rowOff>
    </xdr:from>
    <xdr:to>
      <xdr:col>15</xdr:col>
      <xdr:colOff>293914</xdr:colOff>
      <xdr:row>27</xdr:row>
      <xdr:rowOff>152400</xdr:rowOff>
    </xdr:to>
    <xdr:graphicFrame macro="">
      <xdr:nvGraphicFramePr>
        <xdr:cNvPr id="7" name="Chart_Stage2">
          <a:extLst>
            <a:ext uri="{FF2B5EF4-FFF2-40B4-BE49-F238E27FC236}">
              <a16:creationId xmlns:a16="http://schemas.microsoft.com/office/drawing/2014/main" id="{DAC167FD-4CC4-A783-9379-C97EE034B0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566057</xdr:colOff>
      <xdr:row>28</xdr:row>
      <xdr:rowOff>43542</xdr:rowOff>
    </xdr:from>
    <xdr:to>
      <xdr:col>15</xdr:col>
      <xdr:colOff>283029</xdr:colOff>
      <xdr:row>35</xdr:row>
      <xdr:rowOff>76199</xdr:rowOff>
    </xdr:to>
    <xdr:sp macro="" textlink="">
      <xdr:nvSpPr>
        <xdr:cNvPr id="8" name="TextBox 7">
          <a:extLst>
            <a:ext uri="{FF2B5EF4-FFF2-40B4-BE49-F238E27FC236}">
              <a16:creationId xmlns:a16="http://schemas.microsoft.com/office/drawing/2014/main" id="{B4EE1734-42B0-3C2D-07E7-E3B106FFC5FC}"/>
            </a:ext>
          </a:extLst>
        </xdr:cNvPr>
        <xdr:cNvSpPr txBox="1"/>
      </xdr:nvSpPr>
      <xdr:spPr>
        <a:xfrm>
          <a:off x="566057" y="5225142"/>
          <a:ext cx="8860972" cy="1328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hu-HU" sz="1200">
              <a:solidFill>
                <a:schemeClr val="bg1"/>
              </a:solidFill>
              <a:latin typeface="Segoe UI" panose="020B0502040204020203" pitchFamily="34" charset="0"/>
            </a:rPr>
            <a:t>Stage 2 (AD account provisioning) averages 7.2 days, 40% of total onboarding time and the slowest of the three stages. 37% of contractors spend over 8 days here. Kelly OCG (8.8d) and Apex Systems (8.0d) are the slowest vendors; ManpowerGroup (5.5d) is fastest.
Recommend: a 5-day Stage 2 SLA, a weekly vendor scorecard, and an AD-provisioning automation review for the two slowest vendors.</a:t>
          </a:r>
        </a:p>
      </xdr:txBody>
    </xdr:sp>
    <xdr:clientData/>
  </xdr:twoCellAnchor>
  <xdr:twoCellAnchor>
    <xdr:from>
      <xdr:col>16</xdr:col>
      <xdr:colOff>250371</xdr:colOff>
      <xdr:row>6</xdr:row>
      <xdr:rowOff>172719</xdr:rowOff>
    </xdr:from>
    <xdr:to>
      <xdr:col>32</xdr:col>
      <xdr:colOff>152400</xdr:colOff>
      <xdr:row>37</xdr:row>
      <xdr:rowOff>174171</xdr:rowOff>
    </xdr:to>
    <xdr:sp macro="" textlink="">
      <xdr:nvSpPr>
        <xdr:cNvPr id="9" name="card_Renewal">
          <a:extLst>
            <a:ext uri="{FF2B5EF4-FFF2-40B4-BE49-F238E27FC236}">
              <a16:creationId xmlns:a16="http://schemas.microsoft.com/office/drawing/2014/main" id="{416F971F-0CEA-71AE-097A-76B0C3CC26AB}"/>
            </a:ext>
          </a:extLst>
        </xdr:cNvPr>
        <xdr:cNvSpPr/>
      </xdr:nvSpPr>
      <xdr:spPr>
        <a:xfrm>
          <a:off x="10003971" y="1283062"/>
          <a:ext cx="9655629" cy="5738223"/>
        </a:xfrm>
        <a:prstGeom prst="roundRect">
          <a:avLst/>
        </a:prstGeom>
        <a:solidFill>
          <a:srgbClr val="002060"/>
        </a:solidFill>
        <a:ln w="12700">
          <a:solidFill>
            <a:srgbClr val="E1E4E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17</xdr:col>
      <xdr:colOff>261257</xdr:colOff>
      <xdr:row>7</xdr:row>
      <xdr:rowOff>76200</xdr:rowOff>
    </xdr:from>
    <xdr:to>
      <xdr:col>31</xdr:col>
      <xdr:colOff>293915</xdr:colOff>
      <xdr:row>9</xdr:row>
      <xdr:rowOff>0</xdr:rowOff>
    </xdr:to>
    <xdr:sp macro="" textlink="">
      <xdr:nvSpPr>
        <xdr:cNvPr id="10" name="TextBox 9">
          <a:extLst>
            <a:ext uri="{FF2B5EF4-FFF2-40B4-BE49-F238E27FC236}">
              <a16:creationId xmlns:a16="http://schemas.microsoft.com/office/drawing/2014/main" id="{49D013DD-2423-A921-A5BA-8C9B336BA09E}"/>
            </a:ext>
          </a:extLst>
        </xdr:cNvPr>
        <xdr:cNvSpPr txBox="1"/>
      </xdr:nvSpPr>
      <xdr:spPr>
        <a:xfrm>
          <a:off x="10624457" y="1371600"/>
          <a:ext cx="8567058" cy="293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hu-HU" sz="1050" b="1">
              <a:solidFill>
                <a:schemeClr val="bg1"/>
              </a:solidFill>
              <a:latin typeface="Segoe UI" panose="020B0502040204020203" pitchFamily="34" charset="0"/>
            </a:rPr>
            <a:t>FINDING 2  -  RENEWAL PIPELINE RISK</a:t>
          </a:r>
        </a:p>
      </xdr:txBody>
    </xdr:sp>
    <xdr:clientData/>
  </xdr:twoCellAnchor>
  <xdr:twoCellAnchor>
    <xdr:from>
      <xdr:col>16</xdr:col>
      <xdr:colOff>558800</xdr:colOff>
      <xdr:row>8</xdr:row>
      <xdr:rowOff>174172</xdr:rowOff>
    </xdr:from>
    <xdr:to>
      <xdr:col>31</xdr:col>
      <xdr:colOff>558800</xdr:colOff>
      <xdr:row>29</xdr:row>
      <xdr:rowOff>65314</xdr:rowOff>
    </xdr:to>
    <xdr:graphicFrame macro="">
      <xdr:nvGraphicFramePr>
        <xdr:cNvPr id="11" name="Chart_Renewal">
          <a:extLst>
            <a:ext uri="{FF2B5EF4-FFF2-40B4-BE49-F238E27FC236}">
              <a16:creationId xmlns:a16="http://schemas.microsoft.com/office/drawing/2014/main" id="{DDA2527A-8087-D0D6-312C-0BE34ACA89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558800</xdr:colOff>
      <xdr:row>29</xdr:row>
      <xdr:rowOff>76200</xdr:rowOff>
    </xdr:from>
    <xdr:to>
      <xdr:col>31</xdr:col>
      <xdr:colOff>558800</xdr:colOff>
      <xdr:row>35</xdr:row>
      <xdr:rowOff>127000</xdr:rowOff>
    </xdr:to>
    <xdr:sp macro="" textlink="">
      <xdr:nvSpPr>
        <xdr:cNvPr id="12" name="TextBox 11">
          <a:extLst>
            <a:ext uri="{FF2B5EF4-FFF2-40B4-BE49-F238E27FC236}">
              <a16:creationId xmlns:a16="http://schemas.microsoft.com/office/drawing/2014/main" id="{6D748366-8DA6-6DE8-B9DD-091EEFFF7010}"/>
            </a:ext>
          </a:extLst>
        </xdr:cNvPr>
        <xdr:cNvSpPr txBox="1"/>
      </xdr:nvSpPr>
      <xdr:spPr>
        <a:xfrm>
          <a:off x="10312400" y="5442857"/>
          <a:ext cx="9144000" cy="1161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hu-HU" sz="1200">
              <a:solidFill>
                <a:schemeClr val="bg1"/>
              </a:solidFill>
              <a:latin typeface="Segoe UI" panose="020B0502040204020203" pitchFamily="34" charset="0"/>
            </a:rPr>
            <a:t>14 contracts expire within 30 days. 10 of them (71%) have no renewal started; only 4 are marked Not Required and none are In Process. At the current cadence most near-term expirations reach their deadline with no active renewal.
Recommend: move the renewal-alert </a:t>
          </a:r>
          <a:r>
            <a:rPr lang="hu-HU" sz="1200">
              <a:solidFill>
                <a:schemeClr val="bg1"/>
              </a:solidFill>
              <a:latin typeface="Segoe UI" panose="020B0502040204020203" pitchFamily="34" charset="0"/>
              <a:ea typeface="+mn-ea"/>
              <a:cs typeface="+mn-cs"/>
            </a:rPr>
            <a:t>threshold</a:t>
          </a:r>
          <a:r>
            <a:rPr lang="hu-HU" sz="1200">
              <a:solidFill>
                <a:schemeClr val="bg1"/>
              </a:solidFill>
              <a:latin typeface="Segoe UI" panose="020B0502040204020203" pitchFamily="34" charset="0"/>
            </a:rPr>
            <a:t> from 30 to 45-60 days so vendors have runway to act.</a:t>
          </a:r>
        </a:p>
      </xdr:txBody>
    </xdr:sp>
    <xdr:clientData/>
  </xdr:twoCellAnchor>
  <xdr:twoCellAnchor>
    <xdr:from>
      <xdr:col>0</xdr:col>
      <xdr:colOff>254000</xdr:colOff>
      <xdr:row>38</xdr:row>
      <xdr:rowOff>86360</xdr:rowOff>
    </xdr:from>
    <xdr:to>
      <xdr:col>16</xdr:col>
      <xdr:colOff>50800</xdr:colOff>
      <xdr:row>68</xdr:row>
      <xdr:rowOff>174171</xdr:rowOff>
    </xdr:to>
    <xdr:sp macro="" textlink="">
      <xdr:nvSpPr>
        <xdr:cNvPr id="13" name="card_Discrepancy">
          <a:extLst>
            <a:ext uri="{FF2B5EF4-FFF2-40B4-BE49-F238E27FC236}">
              <a16:creationId xmlns:a16="http://schemas.microsoft.com/office/drawing/2014/main" id="{E1B5747E-CFC3-C10C-3020-AF59061A25E6}"/>
            </a:ext>
          </a:extLst>
        </xdr:cNvPr>
        <xdr:cNvSpPr/>
      </xdr:nvSpPr>
      <xdr:spPr>
        <a:xfrm>
          <a:off x="254000" y="7118531"/>
          <a:ext cx="9550400" cy="5639526"/>
        </a:xfrm>
        <a:prstGeom prst="roundRect">
          <a:avLst/>
        </a:prstGeom>
        <a:solidFill>
          <a:srgbClr val="002060"/>
        </a:solidFill>
        <a:ln w="12700">
          <a:solidFill>
            <a:srgbClr val="E1E4E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0</xdr:col>
      <xdr:colOff>576942</xdr:colOff>
      <xdr:row>39</xdr:row>
      <xdr:rowOff>55880</xdr:rowOff>
    </xdr:from>
    <xdr:to>
      <xdr:col>15</xdr:col>
      <xdr:colOff>457199</xdr:colOff>
      <xdr:row>40</xdr:row>
      <xdr:rowOff>54428</xdr:rowOff>
    </xdr:to>
    <xdr:sp macro="" textlink="">
      <xdr:nvSpPr>
        <xdr:cNvPr id="14" name="TextBox 13">
          <a:extLst>
            <a:ext uri="{FF2B5EF4-FFF2-40B4-BE49-F238E27FC236}">
              <a16:creationId xmlns:a16="http://schemas.microsoft.com/office/drawing/2014/main" id="{9FDA41DF-656E-FA81-8AA6-6660FEF137E0}"/>
            </a:ext>
          </a:extLst>
        </xdr:cNvPr>
        <xdr:cNvSpPr txBox="1"/>
      </xdr:nvSpPr>
      <xdr:spPr>
        <a:xfrm>
          <a:off x="576942" y="7273109"/>
          <a:ext cx="9024257" cy="183605"/>
        </a:xfrm>
        <a:prstGeom prst="rect">
          <a:avLst/>
        </a:prstGeom>
        <a:noFill/>
        <a:ln w="9525" cmpd="sng">
          <a:noFill/>
          <a:round/>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hu-HU" sz="1050" b="1">
              <a:solidFill>
                <a:schemeClr val="bg1"/>
              </a:solidFill>
              <a:latin typeface="Segoe UI" panose="020B0502040204020203" pitchFamily="34" charset="0"/>
            </a:rPr>
            <a:t>FINDING 3  -  DISCREPANCY TYPE CONCENTRATION</a:t>
          </a:r>
        </a:p>
      </xdr:txBody>
    </xdr:sp>
    <xdr:clientData/>
  </xdr:twoCellAnchor>
  <xdr:twoCellAnchor>
    <xdr:from>
      <xdr:col>0</xdr:col>
      <xdr:colOff>457200</xdr:colOff>
      <xdr:row>40</xdr:row>
      <xdr:rowOff>152400</xdr:rowOff>
    </xdr:from>
    <xdr:to>
      <xdr:col>15</xdr:col>
      <xdr:colOff>457200</xdr:colOff>
      <xdr:row>55</xdr:row>
      <xdr:rowOff>76200</xdr:rowOff>
    </xdr:to>
    <xdr:graphicFrame macro="">
      <xdr:nvGraphicFramePr>
        <xdr:cNvPr id="15" name="Chart_Discrepancy">
          <a:extLst>
            <a:ext uri="{FF2B5EF4-FFF2-40B4-BE49-F238E27FC236}">
              <a16:creationId xmlns:a16="http://schemas.microsoft.com/office/drawing/2014/main" id="{74CD68BD-1FF0-6FF5-00DC-E3268471C4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457200</xdr:colOff>
      <xdr:row>56</xdr:row>
      <xdr:rowOff>45720</xdr:rowOff>
    </xdr:from>
    <xdr:to>
      <xdr:col>15</xdr:col>
      <xdr:colOff>457200</xdr:colOff>
      <xdr:row>67</xdr:row>
      <xdr:rowOff>40640</xdr:rowOff>
    </xdr:to>
    <xdr:sp macro="" textlink="">
      <xdr:nvSpPr>
        <xdr:cNvPr id="16" name="TextBox 15">
          <a:extLst>
            <a:ext uri="{FF2B5EF4-FFF2-40B4-BE49-F238E27FC236}">
              <a16:creationId xmlns:a16="http://schemas.microsoft.com/office/drawing/2014/main" id="{F501E513-F6B8-17F4-6790-F6096944C184}"/>
            </a:ext>
          </a:extLst>
        </xdr:cNvPr>
        <xdr:cNvSpPr txBox="1"/>
      </xdr:nvSpPr>
      <xdr:spPr>
        <a:xfrm>
          <a:off x="457200" y="10287000"/>
          <a:ext cx="9144000" cy="2006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hu-HU" sz="1200">
              <a:solidFill>
                <a:schemeClr val="bg1"/>
              </a:solidFill>
              <a:latin typeface="Segoe UI" panose="020B0502040204020203" pitchFamily="34" charset="0"/>
            </a:rPr>
            <a:t>13 contractors are flagged for a System A / System B mismatch. Duplicate Active Record and Termination Lag account for 10 of the 13 flags (77%). Robert Half Technology has the highest flag rate (33%, 3 of 9); Insight Global has the most flags in absolute terms (4 of 15).
Recommend: daily automated reconciliation targeted at duplicate-record and termination-lag mismatches, replacing the current weekly manual review.</a:t>
          </a:r>
        </a:p>
      </xdr:txBody>
    </xdr:sp>
    <xdr:clientData/>
  </xdr:twoCellAnchor>
  <xdr:twoCellAnchor>
    <xdr:from>
      <xdr:col>16</xdr:col>
      <xdr:colOff>239486</xdr:colOff>
      <xdr:row>38</xdr:row>
      <xdr:rowOff>119742</xdr:rowOff>
    </xdr:from>
    <xdr:to>
      <xdr:col>32</xdr:col>
      <xdr:colOff>152400</xdr:colOff>
      <xdr:row>68</xdr:row>
      <xdr:rowOff>185056</xdr:rowOff>
    </xdr:to>
    <xdr:sp macro="" textlink="">
      <xdr:nvSpPr>
        <xdr:cNvPr id="17" name="card_SlaTurnover">
          <a:extLst>
            <a:ext uri="{FF2B5EF4-FFF2-40B4-BE49-F238E27FC236}">
              <a16:creationId xmlns:a16="http://schemas.microsoft.com/office/drawing/2014/main" id="{2FFF8B7F-3478-F84B-0212-90924F2B2DE1}"/>
            </a:ext>
          </a:extLst>
        </xdr:cNvPr>
        <xdr:cNvSpPr/>
      </xdr:nvSpPr>
      <xdr:spPr>
        <a:xfrm>
          <a:off x="9993086" y="7151913"/>
          <a:ext cx="9666514" cy="5617029"/>
        </a:xfrm>
        <a:prstGeom prst="roundRect">
          <a:avLst/>
        </a:prstGeom>
        <a:solidFill>
          <a:srgbClr val="002060"/>
        </a:solidFill>
        <a:ln w="12700">
          <a:solidFill>
            <a:srgbClr val="E1E4E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hu-HU" sz="1100"/>
        </a:p>
      </xdr:txBody>
    </xdr:sp>
    <xdr:clientData/>
  </xdr:twoCellAnchor>
  <xdr:twoCellAnchor>
    <xdr:from>
      <xdr:col>17</xdr:col>
      <xdr:colOff>228600</xdr:colOff>
      <xdr:row>39</xdr:row>
      <xdr:rowOff>55881</xdr:rowOff>
    </xdr:from>
    <xdr:to>
      <xdr:col>31</xdr:col>
      <xdr:colOff>558799</xdr:colOff>
      <xdr:row>40</xdr:row>
      <xdr:rowOff>130628</xdr:rowOff>
    </xdr:to>
    <xdr:sp macro="" textlink="">
      <xdr:nvSpPr>
        <xdr:cNvPr id="18" name="TextBox 17">
          <a:extLst>
            <a:ext uri="{FF2B5EF4-FFF2-40B4-BE49-F238E27FC236}">
              <a16:creationId xmlns:a16="http://schemas.microsoft.com/office/drawing/2014/main" id="{DC703228-DF68-5E09-C708-02A72B6B6D1D}"/>
            </a:ext>
          </a:extLst>
        </xdr:cNvPr>
        <xdr:cNvSpPr txBox="1"/>
      </xdr:nvSpPr>
      <xdr:spPr>
        <a:xfrm>
          <a:off x="10591800" y="7273110"/>
          <a:ext cx="8864599" cy="2598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hu-HU" sz="1050" b="1">
              <a:solidFill>
                <a:schemeClr val="bg1"/>
              </a:solidFill>
              <a:latin typeface="Segoe UI" panose="020B0502040204020203" pitchFamily="34" charset="0"/>
            </a:rPr>
            <a:t>FINDING 4  -  JULY 2026 SLA / TURNOVER CO-EVENT</a:t>
          </a:r>
        </a:p>
      </xdr:txBody>
    </xdr:sp>
    <xdr:clientData/>
  </xdr:twoCellAnchor>
  <xdr:twoCellAnchor>
    <xdr:from>
      <xdr:col>16</xdr:col>
      <xdr:colOff>558800</xdr:colOff>
      <xdr:row>40</xdr:row>
      <xdr:rowOff>152400</xdr:rowOff>
    </xdr:from>
    <xdr:to>
      <xdr:col>31</xdr:col>
      <xdr:colOff>558800</xdr:colOff>
      <xdr:row>55</xdr:row>
      <xdr:rowOff>76200</xdr:rowOff>
    </xdr:to>
    <xdr:graphicFrame macro="">
      <xdr:nvGraphicFramePr>
        <xdr:cNvPr id="19" name="Chart_SlaTurnover">
          <a:extLst>
            <a:ext uri="{FF2B5EF4-FFF2-40B4-BE49-F238E27FC236}">
              <a16:creationId xmlns:a16="http://schemas.microsoft.com/office/drawing/2014/main" id="{86FCF84C-D53B-48A6-8242-5F2D6EEE0C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558800</xdr:colOff>
      <xdr:row>56</xdr:row>
      <xdr:rowOff>45720</xdr:rowOff>
    </xdr:from>
    <xdr:to>
      <xdr:col>31</xdr:col>
      <xdr:colOff>558800</xdr:colOff>
      <xdr:row>64</xdr:row>
      <xdr:rowOff>130629</xdr:rowOff>
    </xdr:to>
    <xdr:sp macro="" textlink="">
      <xdr:nvSpPr>
        <xdr:cNvPr id="20" name="TextBox 19">
          <a:extLst>
            <a:ext uri="{FF2B5EF4-FFF2-40B4-BE49-F238E27FC236}">
              <a16:creationId xmlns:a16="http://schemas.microsoft.com/office/drawing/2014/main" id="{B1BD0DFF-AE48-FA9B-CAA5-FABC0A015C07}"/>
            </a:ext>
          </a:extLst>
        </xdr:cNvPr>
        <xdr:cNvSpPr txBox="1"/>
      </xdr:nvSpPr>
      <xdr:spPr>
        <a:xfrm>
          <a:off x="10312400" y="10408920"/>
          <a:ext cx="9144000" cy="15653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hu-HU" sz="1200">
              <a:solidFill>
                <a:schemeClr val="bg1"/>
              </a:solidFill>
              <a:latin typeface="Segoe UI" panose="020B0502040204020203" pitchFamily="34" charset="0"/>
            </a:rPr>
            <a:t>July 2026 SLA compliance (81.9%) is 13.5 points below the 11-month average (95.4%) - the sharpest drop in the trend. Turnover the same month (14.3%) is more than 3x the 11-month average (4.2%). The two moving together points to resource contention: a seasonal offboarding wave likely competed with onboarding capacity.
Recommend: temporary resource reallocation or external support in known project-closeout months</a:t>
          </a:r>
          <a:r>
            <a:rPr lang="hu-HU" sz="950">
              <a:solidFill>
                <a:schemeClr val="bg1"/>
              </a:solidFill>
              <a:latin typeface="Segoe UI" panose="020B0502040204020203" pitchFamily="34" charset="0"/>
            </a:rPr>
            <a:t>.</a:t>
          </a:r>
        </a:p>
      </xdr:txBody>
    </xdr:sp>
    <xdr:clientData/>
  </xdr:twoCellAnchor>
  <xdr:twoCellAnchor>
    <xdr:from>
      <xdr:col>16</xdr:col>
      <xdr:colOff>558800</xdr:colOff>
      <xdr:row>65</xdr:row>
      <xdr:rowOff>32657</xdr:rowOff>
    </xdr:from>
    <xdr:to>
      <xdr:col>31</xdr:col>
      <xdr:colOff>558800</xdr:colOff>
      <xdr:row>66</xdr:row>
      <xdr:rowOff>87086</xdr:rowOff>
    </xdr:to>
    <xdr:sp macro="" textlink="">
      <xdr:nvSpPr>
        <xdr:cNvPr id="21" name="TextBox 20">
          <a:extLst>
            <a:ext uri="{FF2B5EF4-FFF2-40B4-BE49-F238E27FC236}">
              <a16:creationId xmlns:a16="http://schemas.microsoft.com/office/drawing/2014/main" id="{7D280B87-6C64-1F55-71A6-F30700A653DB}"/>
            </a:ext>
          </a:extLst>
        </xdr:cNvPr>
        <xdr:cNvSpPr txBox="1"/>
      </xdr:nvSpPr>
      <xdr:spPr>
        <a:xfrm>
          <a:off x="10312400" y="12061371"/>
          <a:ext cx="9144000" cy="2394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hu-HU" sz="1200" i="1">
              <a:solidFill>
                <a:schemeClr val="bg1"/>
              </a:solidFill>
              <a:latin typeface="Segoe UI" panose="020B0502040204020203" pitchFamily="34" charset="0"/>
            </a:rPr>
            <a:t>Monthly trend from a separate aggregated source - not slicer-filtered.</a:t>
          </a:r>
        </a:p>
      </xdr:txBody>
    </xdr:sp>
    <xdr:clientData/>
  </xdr:twoCellAnchor>
  <xdr:twoCellAnchor>
    <xdr:from>
      <xdr:col>26</xdr:col>
      <xdr:colOff>21771</xdr:colOff>
      <xdr:row>0</xdr:row>
      <xdr:rowOff>97970</xdr:rowOff>
    </xdr:from>
    <xdr:to>
      <xdr:col>31</xdr:col>
      <xdr:colOff>326571</xdr:colOff>
      <xdr:row>4</xdr:row>
      <xdr:rowOff>119742</xdr:rowOff>
    </xdr:to>
    <xdr:sp macro="" textlink="">
      <xdr:nvSpPr>
        <xdr:cNvPr id="22" name="Rectangle: Rounded Corners 21">
          <a:hlinkClick xmlns:r="http://schemas.openxmlformats.org/officeDocument/2006/relationships" r:id="rId5"/>
          <a:extLst>
            <a:ext uri="{FF2B5EF4-FFF2-40B4-BE49-F238E27FC236}">
              <a16:creationId xmlns:a16="http://schemas.microsoft.com/office/drawing/2014/main" id="{6F558881-DEA9-FEAB-0B4D-4ADA64E90797}"/>
            </a:ext>
          </a:extLst>
        </xdr:cNvPr>
        <xdr:cNvSpPr/>
      </xdr:nvSpPr>
      <xdr:spPr>
        <a:xfrm>
          <a:off x="15871371" y="97970"/>
          <a:ext cx="3352800" cy="762001"/>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2400" b="1"/>
            <a:t>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272.895467476854" createdVersion="3" refreshedVersion="8" minRefreshableVersion="3" recordCount="78" xr:uid="{E8B812F4-1C22-44FF-9DBE-A8E14988037C}">
  <cacheSource type="worksheet">
    <worksheetSource name="tblContractors"/>
  </cacheSource>
  <cacheFields count="33">
    <cacheField name="Id" numFmtId="0">
      <sharedItems/>
    </cacheField>
    <cacheField name="Name" numFmtId="0">
      <sharedItems count="80">
        <s v="Laura Edwards"/>
        <s v="Kevin Campbell"/>
        <s v="Kevin Thompson"/>
        <s v="James Clark"/>
        <s v="Susan Carter"/>
        <s v="Rebecca Green"/>
        <s v="Susan Scott"/>
        <s v="Robert Parker"/>
        <s v="Matthew Walker"/>
        <s v="James Collins"/>
        <s v="Michael Anderson"/>
        <s v="Melissa Anderson"/>
        <s v="Kevin Mitchell"/>
        <s v="Joshua Evans"/>
        <s v="Ashley Clark"/>
        <s v="Emily Parker"/>
        <s v="Kevin Martinez"/>
        <s v="Emily Martinez"/>
        <s v="Rebecca Lewis"/>
        <s v="Charles Phillips"/>
        <s v="Rebecca Evans"/>
        <s v="Daniel Rodriguez"/>
        <s v="Kevin Robinson"/>
        <s v="Susan King"/>
        <s v="Michael Green"/>
        <s v="Amanda Clark"/>
        <s v="James Adams"/>
        <s v="Brian Collins"/>
        <s v="Linda Turner"/>
        <s v="Maria Robinson"/>
        <s v="Thomas Robinson"/>
        <s v="Andrew Thompson"/>
        <s v="Maria Thompson"/>
        <s v="Ryan Stewart"/>
        <s v="Rebecca Allen"/>
        <s v="Stephanie Lewis"/>
        <s v="James Hall"/>
        <s v="Ashley Nelson"/>
        <s v="Karen Mitchell"/>
        <s v="Sandra Young"/>
        <s v="Sandra Scott"/>
        <s v="Karen Carter"/>
        <s v="Justin Rodriguez"/>
        <s v="Michael Young"/>
        <s v="Sandra Campbell"/>
        <s v="Karen Scott"/>
        <s v="Michael Perez"/>
        <s v="Betty Martinez"/>
        <s v="Ashley Rodriguez"/>
        <s v="Matthew Allen"/>
        <s v="Nancy Campbell"/>
        <s v="Matthew Adams"/>
        <s v="Charles Adams"/>
        <s v="Daniel Wright"/>
        <s v="Jessica Thompson"/>
        <s v="Betty Nelson"/>
        <s v="Andrew Nelson"/>
        <s v="David Baker"/>
        <s v="Ryan Walker"/>
        <s v="James Turner"/>
        <s v="David Adams"/>
        <s v="Melissa Rodriguez"/>
        <s v="James Martinez"/>
        <s v="Karen King"/>
        <s v="Melissa Adams"/>
        <s v="Daniel Robinson"/>
        <s v="Michael Thompson"/>
        <s v="Joshua Perez"/>
        <s v="David Wright"/>
        <s v="Joshua Roberts"/>
        <s v="Jessica King"/>
        <s v="Charles Perez"/>
        <s v="Brian Adams"/>
        <s v="Daniel Parker"/>
        <s v="Susan Hall"/>
        <s v="Michael Phillips"/>
        <s v="James Allen"/>
        <s v="Linda Collins"/>
        <s v="Joshua Clark" u="1"/>
        <s v="J C" u="1"/>
      </sharedItems>
    </cacheField>
    <cacheField name="Vendor" numFmtId="0">
      <sharedItems count="8">
        <s v="Insight Global"/>
        <s v="TEKsystems"/>
        <s v="Kelly OCG"/>
        <s v="Robert Half Technology"/>
        <s v="ManpowerGroup"/>
        <s v="Yoh Managed Solutions"/>
        <s v="Randstad Technologies"/>
        <s v="Apex Systems"/>
      </sharedItems>
    </cacheField>
    <cacheField name="VMS" numFmtId="0">
      <sharedItems/>
    </cacheField>
    <cacheField name="State" numFmtId="0">
      <sharedItems count="21">
        <s v="NY"/>
        <s v="CA"/>
        <s v="AZ"/>
        <s v="IL"/>
        <s v="TN"/>
        <s v="PA"/>
        <s v="MA"/>
        <s v="IN"/>
        <s v="NJ"/>
        <s v="MO"/>
        <s v="CT"/>
        <s v="TX"/>
        <s v="MD"/>
        <s v="FL"/>
        <s v="WA"/>
        <s v="NC"/>
        <s v="MI"/>
        <s v="MN"/>
        <s v="WI"/>
        <s v="GA"/>
        <s v="VA"/>
      </sharedItems>
    </cacheField>
    <cacheField name="Age" numFmtId="0">
      <sharedItems containsSemiMixedTypes="0" containsString="0" containsNumber="1" containsInteger="1" minValue="23" maxValue="64"/>
    </cacheField>
    <cacheField name="AgeBucket" numFmtId="0">
      <sharedItems count="5">
        <s v="30-39"/>
        <s v="40-49"/>
        <s v="20-29"/>
        <s v="60+"/>
        <s v="50-59"/>
      </sharedItems>
    </cacheField>
    <cacheField name="Gender" numFmtId="0">
      <sharedItems count="2">
        <s v="Male"/>
        <s v="Female"/>
      </sharedItems>
    </cacheField>
    <cacheField name="PayBand" numFmtId="0">
      <sharedItems count="5">
        <s v="$80K-100K"/>
        <s v="$100K-125K"/>
        <s v="$125K-150K"/>
        <s v="$60K-80K"/>
        <s v="$150K+"/>
      </sharedItems>
    </cacheField>
    <cacheField name="Status" numFmtId="0">
      <sharedItems/>
    </cacheField>
    <cacheField name="EndDate" numFmtId="164">
      <sharedItems containsSemiMixedTypes="0" containsNonDate="0" containsDate="1" containsString="0" minDate="2026-09-03T00:00:00" maxDate="2028-02-25T00:00:00"/>
    </cacheField>
    <cacheField name="DaysUntilExpiration" numFmtId="0">
      <sharedItems containsSemiMixedTypes="0" containsString="0" containsNumber="1" containsInteger="1" minValue="-3" maxValue="536"/>
    </cacheField>
    <cacheField name="ExtensionStatus" numFmtId="0">
      <sharedItems count="3">
        <s v="Not Required"/>
        <s v="Not Started"/>
        <s v="In Process"/>
      </sharedItems>
    </cacheField>
    <cacheField name="RequestReceived" numFmtId="164">
      <sharedItems containsSemiMixedTypes="0" containsNonDate="0" containsDate="1" containsString="0" minDate="2025-04-09T00:00:00" maxDate="2026-06-25T00:00:00"/>
    </cacheField>
    <cacheField name="AdCreated" numFmtId="164">
      <sharedItems containsSemiMixedTypes="0" containsNonDate="0" containsDate="1" containsString="0" minDate="2025-04-15T03:41:53" maxDate="2026-07-01T17:11:07"/>
    </cacheField>
    <cacheField name="AccessGranted" numFmtId="164">
      <sharedItems containsSemiMixedTypes="0" containsNonDate="0" containsDate="1" containsString="0" minDate="2025-04-21T13:29:21" maxDate="2026-07-10T14:34:23"/>
    </cacheField>
    <cacheField name="GoLive" numFmtId="164">
      <sharedItems containsSemiMixedTypes="0" containsNonDate="0" containsDate="1" containsString="0" minDate="2025-04-24T21:26:08" maxDate="2026-07-17T09:17:12"/>
    </cacheField>
    <cacheField name="Stage1Days" numFmtId="0">
      <sharedItems containsSemiMixedTypes="0" containsString="0" containsNumber="1" minValue="2" maxValue="9.9"/>
    </cacheField>
    <cacheField name="Stage2Days" numFmtId="0">
      <sharedItems containsSemiMixedTypes="0" containsString="0" containsNumber="1" minValue="3" maxValue="11"/>
    </cacheField>
    <cacheField name="Stage3Days" numFmtId="0">
      <sharedItems containsSemiMixedTypes="0" containsString="0" containsNumber="1" minValue="1.3" maxValue="8.9"/>
    </cacheField>
    <cacheField name="OnboardingDays" numFmtId="0">
      <sharedItems containsSemiMixedTypes="0" containsString="0" containsNumber="1" minValue="8.3000000000000007" maxValue="27.3"/>
    </cacheField>
    <cacheField name="TenureMonths" numFmtId="0">
      <sharedItems containsSemiMixedTypes="0" containsString="0" containsNumber="1" minValue="1.7" maxValue="16.399999999999999"/>
    </cacheField>
    <cacheField name="TenureBucket" numFmtId="0">
      <sharedItems count="4">
        <s v="6-12 mo"/>
        <s v="1-2 yr"/>
        <s v="&lt; 3 mo"/>
        <s v="3-6 mo"/>
      </sharedItems>
    </cacheField>
    <cacheField name="SystemAStatus" numFmtId="0">
      <sharedItems/>
    </cacheField>
    <cacheField name="SystemBStatus" numFmtId="0">
      <sharedItems/>
    </cacheField>
    <cacheField name="DiscrepancyType" numFmtId="164">
      <sharedItems containsBlank="1" count="6">
        <s v="Termination Lag"/>
        <m/>
        <s v="Duplicate Active Record"/>
        <s v="Missing VMS Record"/>
        <s v="End Date Conflict"/>
        <s v="Status Mismatch"/>
      </sharedItems>
    </cacheField>
    <cacheField name="FlaggedDate" numFmtId="0">
      <sharedItems containsString="0" containsBlank="1" containsNumber="1" containsInteger="1" minValue="46246" maxValue="46268"/>
    </cacheField>
    <cacheField name="IsActiveFlag" numFmtId="0">
      <sharedItems containsSemiMixedTypes="0" containsString="0" containsNumber="1" containsInteger="1" minValue="0" maxValue="1"/>
    </cacheField>
    <cacheField name="IsExpiring30Flag" numFmtId="0">
      <sharedItems containsSemiMixedTypes="0" containsString="0" containsNumber="1" containsInteger="1" minValue="0" maxValue="1" count="2">
        <n v="0"/>
        <n v="1"/>
      </sharedItems>
    </cacheField>
    <cacheField name="ExpiringSoonFlag" numFmtId="0">
      <sharedItems containsSemiMixedTypes="0" containsString="0" containsNumber="1" containsInteger="1" minValue="0" maxValue="1"/>
    </cacheField>
    <cacheField name="DiscrepancyFlag" numFmtId="0">
      <sharedItems containsSemiMixedTypes="0" containsString="0" containsNumber="1" containsInteger="1" minValue="0" maxValue="1"/>
    </cacheField>
    <cacheField name="StateName" numFmtId="0">
      <sharedItems count="21">
        <s v="New York"/>
        <s v="California"/>
        <s v="Arizona"/>
        <s v="Illinois"/>
        <s v="Tennessee"/>
        <s v="Pennsylvania"/>
        <s v="Massachusetts"/>
        <s v="Indiana"/>
        <s v="New Jersey"/>
        <s v="Missouri"/>
        <s v="Connecticut"/>
        <s v="Texas"/>
        <s v="Maryland"/>
        <s v="Florida"/>
        <s v="Washington"/>
        <s v="North Carolina"/>
        <s v="Michigan"/>
        <s v="Minnesota"/>
        <s v="Wisconsin"/>
        <s v="Georgia"/>
        <s v="Virginia"/>
      </sharedItems>
    </cacheField>
    <cacheField name="MetricModifier" numFmtId="0">
      <sharedItems containsSemiMixedTypes="0" containsString="0" containsNumber="1" minValue="-5.97" maxValue="5.99"/>
    </cacheField>
  </cacheFields>
  <extLst>
    <ext xmlns:x14="http://schemas.microsoft.com/office/spreadsheetml/2009/9/main" uri="{725AE2AE-9491-48be-B2B4-4EB974FC3084}">
      <x14:pivotCacheDefinition pivotCacheId="2864081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s v="c-0"/>
    <x v="0"/>
    <x v="0"/>
    <s v="Beeline"/>
    <x v="0"/>
    <n v="32"/>
    <x v="0"/>
    <x v="0"/>
    <x v="0"/>
    <s v="Active"/>
    <d v="2027-02-22T00:00:00"/>
    <n v="169"/>
    <x v="0"/>
    <d v="2025-11-05T00:00:00"/>
    <d v="2025-11-08T08:20:22"/>
    <d v="2025-11-13T10:45:26"/>
    <d v="2025-11-20T05:50:37"/>
    <n v="3.3"/>
    <n v="5.0999999999999996"/>
    <n v="6.8"/>
    <n v="15.2"/>
    <n v="9.5"/>
    <x v="0"/>
    <s v="Active"/>
    <s v="Pending Offboard"/>
    <x v="0"/>
    <n v="46268"/>
    <n v="1"/>
    <x v="0"/>
    <n v="0"/>
    <n v="1"/>
    <x v="0"/>
    <n v="-1.43"/>
  </r>
  <r>
    <s v="c-1"/>
    <x v="1"/>
    <x v="1"/>
    <s v="SAP Fieldglass"/>
    <x v="1"/>
    <n v="45"/>
    <x v="1"/>
    <x v="1"/>
    <x v="0"/>
    <s v="Active"/>
    <d v="2026-09-26T00:00:00"/>
    <n v="20"/>
    <x v="0"/>
    <d v="2025-06-26T00:00:00"/>
    <d v="2025-07-02T14:49:18"/>
    <d v="2025-07-08T19:08:10"/>
    <d v="2025-07-11T00:21:26"/>
    <n v="6.6"/>
    <n v="6.2"/>
    <n v="2.2000000000000002"/>
    <n v="15"/>
    <n v="13.9"/>
    <x v="1"/>
    <s v="Active"/>
    <s v="Active"/>
    <x v="1"/>
    <m/>
    <n v="1"/>
    <x v="1"/>
    <n v="1"/>
    <n v="0"/>
    <x v="1"/>
    <n v="4.87"/>
  </r>
  <r>
    <s v="c-2"/>
    <x v="2"/>
    <x v="1"/>
    <s v="SAP Fieldglass"/>
    <x v="2"/>
    <n v="25"/>
    <x v="2"/>
    <x v="0"/>
    <x v="1"/>
    <s v="Active"/>
    <d v="2026-09-15T00:00:00"/>
    <n v="9"/>
    <x v="1"/>
    <d v="2025-12-21T00:00:00"/>
    <d v="2025-12-28T15:39:50"/>
    <d v="2026-01-05T16:19:44"/>
    <d v="2026-01-08T10:16:13"/>
    <n v="7.7"/>
    <n v="8"/>
    <n v="2.7"/>
    <n v="18.399999999999999"/>
    <n v="7.9"/>
    <x v="0"/>
    <s v="Active"/>
    <s v="Active"/>
    <x v="1"/>
    <m/>
    <n v="1"/>
    <x v="1"/>
    <n v="1"/>
    <n v="0"/>
    <x v="2"/>
    <n v="-5.86"/>
  </r>
  <r>
    <s v="c-3"/>
    <x v="3"/>
    <x v="2"/>
    <s v="Beeline"/>
    <x v="3"/>
    <n v="41"/>
    <x v="1"/>
    <x v="1"/>
    <x v="0"/>
    <s v="Active"/>
    <d v="2027-02-17T00:00:00"/>
    <n v="164"/>
    <x v="1"/>
    <d v="2026-06-20T00:00:00"/>
    <d v="2026-06-29T01:16:58"/>
    <d v="2026-07-09T17:09:25"/>
    <d v="2026-07-13T09:03:40"/>
    <n v="9.1"/>
    <n v="10.7"/>
    <n v="3.7"/>
    <n v="23.4"/>
    <n v="1.8"/>
    <x v="2"/>
    <s v="Active"/>
    <s v="Active"/>
    <x v="1"/>
    <m/>
    <n v="1"/>
    <x v="0"/>
    <n v="0"/>
    <n v="0"/>
    <x v="3"/>
    <n v="-4.38"/>
  </r>
  <r>
    <s v="c-4"/>
    <x v="4"/>
    <x v="3"/>
    <s v="SAP Fieldglass"/>
    <x v="4"/>
    <n v="61"/>
    <x v="3"/>
    <x v="0"/>
    <x v="1"/>
    <s v="Active"/>
    <d v="2028-01-13T00:00:00"/>
    <n v="494"/>
    <x v="1"/>
    <d v="2025-07-25T00:00:00"/>
    <d v="2025-08-02T14:33:32"/>
    <d v="2025-08-05T16:17:42"/>
    <d v="2025-08-07T00:22:31"/>
    <n v="8.6"/>
    <n v="3.1"/>
    <n v="1.3"/>
    <n v="13"/>
    <n v="13"/>
    <x v="1"/>
    <s v="Active"/>
    <s v="Active"/>
    <x v="1"/>
    <m/>
    <n v="1"/>
    <x v="0"/>
    <n v="0"/>
    <n v="0"/>
    <x v="4"/>
    <n v="1.61"/>
  </r>
  <r>
    <s v="c-5"/>
    <x v="5"/>
    <x v="4"/>
    <s v="SAP Fieldglass"/>
    <x v="5"/>
    <n v="47"/>
    <x v="1"/>
    <x v="0"/>
    <x v="2"/>
    <s v="Active"/>
    <d v="2027-10-26T00:00:00"/>
    <n v="415"/>
    <x v="2"/>
    <d v="2026-05-02T00:00:00"/>
    <d v="2026-05-04T20:36:29"/>
    <d v="2026-05-07T21:09:14"/>
    <d v="2026-05-10T08:04:12"/>
    <n v="2.9"/>
    <n v="3"/>
    <n v="2.5"/>
    <n v="8.3000000000000007"/>
    <n v="3.9"/>
    <x v="3"/>
    <s v="Active"/>
    <s v="Active"/>
    <x v="1"/>
    <m/>
    <n v="1"/>
    <x v="0"/>
    <n v="0"/>
    <n v="0"/>
    <x v="5"/>
    <n v="5.57"/>
  </r>
  <r>
    <s v="c-6"/>
    <x v="6"/>
    <x v="5"/>
    <s v="Beeline"/>
    <x v="6"/>
    <n v="44"/>
    <x v="1"/>
    <x v="0"/>
    <x v="2"/>
    <s v="Active"/>
    <d v="2027-03-11T00:00:00"/>
    <n v="186"/>
    <x v="0"/>
    <d v="2025-11-30T00:00:00"/>
    <d v="2025-12-09T03:01:36"/>
    <d v="2025-12-19T21:06:42"/>
    <d v="2025-12-22T03:05:54"/>
    <n v="9.1"/>
    <n v="10.8"/>
    <n v="2.2000000000000002"/>
    <n v="22.1"/>
    <n v="8.5"/>
    <x v="0"/>
    <s v="Active"/>
    <s v="Active"/>
    <x v="1"/>
    <m/>
    <n v="1"/>
    <x v="0"/>
    <n v="0"/>
    <n v="0"/>
    <x v="6"/>
    <n v="-1.83"/>
  </r>
  <r>
    <s v="c-7"/>
    <x v="7"/>
    <x v="5"/>
    <s v="Beeline"/>
    <x v="7"/>
    <n v="36"/>
    <x v="0"/>
    <x v="1"/>
    <x v="2"/>
    <s v="Active"/>
    <d v="2026-09-19T00:00:00"/>
    <n v="13"/>
    <x v="0"/>
    <d v="2025-10-04T00:00:00"/>
    <d v="2025-10-10T21:39:51"/>
    <d v="2025-10-16T23:59:14"/>
    <d v="2025-10-25T15:33:46"/>
    <n v="6.9"/>
    <n v="6.1"/>
    <n v="8.6"/>
    <n v="21.6"/>
    <n v="10.4"/>
    <x v="0"/>
    <s v="Active"/>
    <s v="Pending Offboard"/>
    <x v="0"/>
    <n v="46246"/>
    <n v="1"/>
    <x v="1"/>
    <n v="1"/>
    <n v="1"/>
    <x v="7"/>
    <n v="-5.8"/>
  </r>
  <r>
    <s v="c-8"/>
    <x v="8"/>
    <x v="0"/>
    <s v="Beeline"/>
    <x v="0"/>
    <n v="29"/>
    <x v="2"/>
    <x v="1"/>
    <x v="3"/>
    <s v="Active"/>
    <d v="2026-09-22T00:00:00"/>
    <n v="16"/>
    <x v="1"/>
    <d v="2025-06-14T00:00:00"/>
    <d v="2025-06-18T07:50:52"/>
    <d v="2025-06-29T03:48:09"/>
    <d v="2025-07-02T23:15:18"/>
    <n v="4.3"/>
    <n v="10.8"/>
    <n v="3.8"/>
    <n v="19"/>
    <n v="14.1"/>
    <x v="1"/>
    <s v="Active"/>
    <s v="Active (Duplicate)"/>
    <x v="2"/>
    <n v="46262"/>
    <n v="1"/>
    <x v="1"/>
    <n v="1"/>
    <n v="1"/>
    <x v="0"/>
    <n v="5.34"/>
  </r>
  <r>
    <s v="c-9"/>
    <x v="9"/>
    <x v="4"/>
    <s v="SAP Fieldglass"/>
    <x v="8"/>
    <n v="29"/>
    <x v="2"/>
    <x v="0"/>
    <x v="3"/>
    <s v="Active"/>
    <d v="2026-09-17T00:00:00"/>
    <n v="11"/>
    <x v="1"/>
    <d v="2025-12-07T00:00:00"/>
    <d v="2025-12-16T22:02:36"/>
    <d v="2025-12-23T22:23:25"/>
    <d v="2025-12-31T19:24:02"/>
    <n v="9.9"/>
    <n v="7"/>
    <n v="7.9"/>
    <n v="24.8"/>
    <n v="8.1999999999999993"/>
    <x v="0"/>
    <s v="Active"/>
    <s v="No Record Found"/>
    <x v="3"/>
    <n v="46262"/>
    <n v="1"/>
    <x v="1"/>
    <n v="1"/>
    <n v="1"/>
    <x v="8"/>
    <n v="5.44"/>
  </r>
  <r>
    <s v="c-10"/>
    <x v="10"/>
    <x v="0"/>
    <s v="Beeline"/>
    <x v="7"/>
    <n v="32"/>
    <x v="0"/>
    <x v="1"/>
    <x v="2"/>
    <s v="Active"/>
    <d v="2026-09-25T00:00:00"/>
    <n v="19"/>
    <x v="1"/>
    <d v="2026-01-09T00:00:00"/>
    <d v="2026-01-12T01:46:21"/>
    <d v="2026-01-18T01:33:32"/>
    <d v="2026-01-19T22:34:28"/>
    <n v="3.1"/>
    <n v="6"/>
    <n v="1.9"/>
    <n v="10.9"/>
    <n v="7.5"/>
    <x v="0"/>
    <s v="Active"/>
    <s v="Active"/>
    <x v="1"/>
    <m/>
    <n v="1"/>
    <x v="1"/>
    <n v="1"/>
    <n v="0"/>
    <x v="7"/>
    <n v="-1.21"/>
  </r>
  <r>
    <s v="c-11"/>
    <x v="11"/>
    <x v="5"/>
    <s v="Beeline"/>
    <x v="0"/>
    <n v="61"/>
    <x v="3"/>
    <x v="0"/>
    <x v="2"/>
    <s v="Active"/>
    <d v="2027-12-07T00:00:00"/>
    <n v="457"/>
    <x v="2"/>
    <d v="2025-06-11T00:00:00"/>
    <d v="2025-06-14T11:50:50"/>
    <d v="2025-06-23T04:30:58"/>
    <d v="2025-07-01T22:02:56"/>
    <n v="3.5"/>
    <n v="8.6999999999999993"/>
    <n v="8.6999999999999993"/>
    <n v="20.9"/>
    <n v="14.2"/>
    <x v="1"/>
    <s v="Active"/>
    <s v="Active"/>
    <x v="1"/>
    <m/>
    <n v="1"/>
    <x v="0"/>
    <n v="0"/>
    <n v="0"/>
    <x v="0"/>
    <n v="-1.68"/>
  </r>
  <r>
    <s v="c-12"/>
    <x v="12"/>
    <x v="5"/>
    <s v="Beeline"/>
    <x v="9"/>
    <n v="34"/>
    <x v="0"/>
    <x v="1"/>
    <x v="2"/>
    <s v="Active"/>
    <d v="2027-08-02T00:00:00"/>
    <n v="330"/>
    <x v="1"/>
    <d v="2025-08-12T00:00:00"/>
    <d v="2025-08-16T04:59:58"/>
    <d v="2025-08-27T03:56:02"/>
    <d v="2025-09-01T00:22:36"/>
    <n v="4.2"/>
    <n v="11"/>
    <n v="4.9000000000000004"/>
    <n v="20"/>
    <n v="12.2"/>
    <x v="1"/>
    <s v="Active"/>
    <s v="Active"/>
    <x v="1"/>
    <m/>
    <n v="1"/>
    <x v="0"/>
    <n v="0"/>
    <n v="0"/>
    <x v="9"/>
    <n v="5.57"/>
  </r>
  <r>
    <s v="c-13"/>
    <x v="13"/>
    <x v="6"/>
    <s v="SAP Fieldglass"/>
    <x v="10"/>
    <n v="57"/>
    <x v="4"/>
    <x v="0"/>
    <x v="0"/>
    <s v="Active"/>
    <d v="2027-11-19T00:00:00"/>
    <n v="439"/>
    <x v="2"/>
    <d v="2026-01-21T00:00:00"/>
    <d v="2026-01-26T17:57:04"/>
    <d v="2026-02-04T05:28:19"/>
    <d v="2026-02-06T11:01:29"/>
    <n v="5.7"/>
    <n v="8.5"/>
    <n v="2.2000000000000002"/>
    <n v="16.5"/>
    <n v="7"/>
    <x v="0"/>
    <s v="Active"/>
    <s v="Active"/>
    <x v="1"/>
    <m/>
    <n v="1"/>
    <x v="0"/>
    <n v="0"/>
    <n v="0"/>
    <x v="10"/>
    <n v="-2.63"/>
  </r>
  <r>
    <s v="c-14"/>
    <x v="14"/>
    <x v="3"/>
    <s v="SAP Fieldglass"/>
    <x v="11"/>
    <n v="24"/>
    <x v="2"/>
    <x v="0"/>
    <x v="0"/>
    <s v="Active"/>
    <d v="2026-10-12T00:00:00"/>
    <n v="36"/>
    <x v="2"/>
    <d v="2025-11-26T00:00:00"/>
    <d v="2025-12-02T04:46:22"/>
    <d v="2025-12-07T19:30:54"/>
    <d v="2025-12-14T02:29:37"/>
    <n v="6.2"/>
    <n v="5.6"/>
    <n v="6.3"/>
    <n v="18.100000000000001"/>
    <n v="8.6999999999999993"/>
    <x v="0"/>
    <s v="Active"/>
    <s v="Active"/>
    <x v="1"/>
    <m/>
    <n v="1"/>
    <x v="0"/>
    <n v="1"/>
    <n v="0"/>
    <x v="11"/>
    <n v="-3.43"/>
  </r>
  <r>
    <s v="c-15"/>
    <x v="15"/>
    <x v="0"/>
    <s v="Beeline"/>
    <x v="3"/>
    <n v="46"/>
    <x v="1"/>
    <x v="0"/>
    <x v="1"/>
    <s v="Active"/>
    <d v="2027-10-27T00:00:00"/>
    <n v="416"/>
    <x v="0"/>
    <d v="2025-09-09T00:00:00"/>
    <d v="2025-09-16T00:24:09"/>
    <d v="2025-09-22T10:43:19"/>
    <d v="2025-09-24T02:07:23"/>
    <n v="7"/>
    <n v="6.4"/>
    <n v="1.6"/>
    <n v="15.1"/>
    <n v="11.4"/>
    <x v="0"/>
    <s v="Active"/>
    <s v="Active"/>
    <x v="1"/>
    <m/>
    <n v="1"/>
    <x v="0"/>
    <n v="0"/>
    <n v="0"/>
    <x v="3"/>
    <n v="-5.57"/>
  </r>
  <r>
    <s v="c-16"/>
    <x v="16"/>
    <x v="0"/>
    <s v="Beeline"/>
    <x v="6"/>
    <n v="30"/>
    <x v="0"/>
    <x v="1"/>
    <x v="3"/>
    <s v="Active"/>
    <d v="2026-11-16T00:00:00"/>
    <n v="71"/>
    <x v="1"/>
    <d v="2026-04-25T00:00:00"/>
    <d v="2026-05-04T19:25:42"/>
    <d v="2026-05-11T14:54:27"/>
    <d v="2026-05-14T06:41:21"/>
    <n v="9.8000000000000007"/>
    <n v="6.8"/>
    <n v="2.7"/>
    <n v="19.3"/>
    <n v="3.8"/>
    <x v="3"/>
    <s v="Active"/>
    <s v="Active"/>
    <x v="1"/>
    <m/>
    <n v="1"/>
    <x v="0"/>
    <n v="1"/>
    <n v="0"/>
    <x v="6"/>
    <n v="-1.62"/>
  </r>
  <r>
    <s v="c-17"/>
    <x v="17"/>
    <x v="0"/>
    <s v="Beeline"/>
    <x v="0"/>
    <n v="47"/>
    <x v="1"/>
    <x v="1"/>
    <x v="4"/>
    <s v="Active"/>
    <d v="2026-10-24T00:00:00"/>
    <n v="48"/>
    <x v="2"/>
    <d v="2025-06-26T00:00:00"/>
    <d v="2025-06-28T01:14:19"/>
    <d v="2025-07-08T00:20:05"/>
    <d v="2025-07-13T07:26:36"/>
    <n v="2.1"/>
    <n v="10"/>
    <n v="5.3"/>
    <n v="17.3"/>
    <n v="13.8"/>
    <x v="1"/>
    <s v="Active"/>
    <s v="Active"/>
    <x v="1"/>
    <m/>
    <n v="1"/>
    <x v="0"/>
    <n v="1"/>
    <n v="0"/>
    <x v="0"/>
    <n v="-3.9"/>
  </r>
  <r>
    <s v="c-18"/>
    <x v="18"/>
    <x v="4"/>
    <s v="SAP Fieldglass"/>
    <x v="12"/>
    <n v="56"/>
    <x v="4"/>
    <x v="1"/>
    <x v="4"/>
    <s v="Active"/>
    <d v="2026-09-06T00:00:00"/>
    <n v="0"/>
    <x v="0"/>
    <d v="2026-01-10T00:00:00"/>
    <d v="2026-01-16T05:48:34"/>
    <d v="2026-01-19T22:41:04"/>
    <d v="2026-01-24T08:57:12"/>
    <n v="6.2"/>
    <n v="3.7"/>
    <n v="4.4000000000000004"/>
    <n v="14.4"/>
    <n v="7.4"/>
    <x v="0"/>
    <s v="Active"/>
    <s v="Active"/>
    <x v="1"/>
    <m/>
    <n v="1"/>
    <x v="1"/>
    <n v="1"/>
    <n v="0"/>
    <x v="12"/>
    <n v="1.96"/>
  </r>
  <r>
    <s v="c-19"/>
    <x v="19"/>
    <x v="1"/>
    <s v="SAP Fieldglass"/>
    <x v="7"/>
    <n v="56"/>
    <x v="4"/>
    <x v="0"/>
    <x v="1"/>
    <s v="Active"/>
    <d v="2027-08-08T00:00:00"/>
    <n v="336"/>
    <x v="0"/>
    <d v="2026-06-24T00:00:00"/>
    <d v="2026-07-01T17:11:07"/>
    <d v="2026-07-10T14:34:23"/>
    <d v="2026-07-17T09:17:12"/>
    <n v="7.7"/>
    <n v="8.9"/>
    <n v="6.8"/>
    <n v="23.4"/>
    <n v="1.7"/>
    <x v="2"/>
    <s v="Active"/>
    <s v="Active"/>
    <x v="1"/>
    <m/>
    <n v="1"/>
    <x v="0"/>
    <n v="0"/>
    <n v="0"/>
    <x v="7"/>
    <n v="-1.68"/>
  </r>
  <r>
    <s v="c-20"/>
    <x v="20"/>
    <x v="4"/>
    <s v="SAP Fieldglass"/>
    <x v="13"/>
    <n v="31"/>
    <x v="0"/>
    <x v="1"/>
    <x v="0"/>
    <s v="Active"/>
    <d v="2026-11-07T00:00:00"/>
    <n v="62"/>
    <x v="2"/>
    <d v="2025-11-11T00:00:00"/>
    <d v="2025-11-13T21:16:51"/>
    <d v="2025-11-19T08:49:03"/>
    <d v="2025-11-27T07:03:44"/>
    <n v="2.9"/>
    <n v="5.5"/>
    <n v="7.9"/>
    <n v="16.3"/>
    <n v="9.3000000000000007"/>
    <x v="0"/>
    <s v="Active"/>
    <s v="Active"/>
    <x v="1"/>
    <m/>
    <n v="1"/>
    <x v="0"/>
    <n v="1"/>
    <n v="0"/>
    <x v="13"/>
    <n v="2.63"/>
  </r>
  <r>
    <s v="c-21"/>
    <x v="21"/>
    <x v="5"/>
    <s v="Beeline"/>
    <x v="11"/>
    <n v="38"/>
    <x v="0"/>
    <x v="0"/>
    <x v="1"/>
    <s v="Active"/>
    <d v="2026-11-18T00:00:00"/>
    <n v="73"/>
    <x v="2"/>
    <d v="2026-02-24T00:00:00"/>
    <d v="2026-02-27T13:33:35"/>
    <d v="2026-03-05T01:09:50"/>
    <d v="2026-03-10T21:04:28"/>
    <n v="3.6"/>
    <n v="5.5"/>
    <n v="5.8"/>
    <n v="14.9"/>
    <n v="5.9"/>
    <x v="3"/>
    <s v="Active"/>
    <s v="Active"/>
    <x v="1"/>
    <m/>
    <n v="1"/>
    <x v="0"/>
    <n v="1"/>
    <n v="0"/>
    <x v="11"/>
    <n v="-5.45"/>
  </r>
  <r>
    <s v="c-22"/>
    <x v="22"/>
    <x v="7"/>
    <s v="Beeline"/>
    <x v="14"/>
    <n v="64"/>
    <x v="3"/>
    <x v="1"/>
    <x v="1"/>
    <s v="Active"/>
    <d v="2028-01-20T00:00:00"/>
    <n v="501"/>
    <x v="1"/>
    <d v="2025-06-20T00:00:00"/>
    <d v="2025-06-25T11:40:08"/>
    <d v="2025-07-04T13:11:26"/>
    <d v="2025-07-09T18:30:50"/>
    <n v="5.5"/>
    <n v="9.1"/>
    <n v="5.2"/>
    <n v="19.8"/>
    <n v="13.9"/>
    <x v="1"/>
    <s v="Active"/>
    <s v="Active"/>
    <x v="1"/>
    <m/>
    <n v="1"/>
    <x v="0"/>
    <n v="0"/>
    <n v="0"/>
    <x v="14"/>
    <n v="2.21"/>
  </r>
  <r>
    <s v="c-23"/>
    <x v="23"/>
    <x v="6"/>
    <s v="SAP Fieldglass"/>
    <x v="4"/>
    <n v="25"/>
    <x v="2"/>
    <x v="1"/>
    <x v="1"/>
    <s v="Active"/>
    <d v="2026-12-22T00:00:00"/>
    <n v="107"/>
    <x v="2"/>
    <d v="2025-07-05T00:00:00"/>
    <d v="2025-07-08T03:32:18"/>
    <d v="2025-07-18T01:12:22"/>
    <d v="2025-07-21T19:19:56"/>
    <n v="3.1"/>
    <n v="9.9"/>
    <n v="3.8"/>
    <n v="16.8"/>
    <n v="13.5"/>
    <x v="1"/>
    <s v="Active"/>
    <s v="Active"/>
    <x v="1"/>
    <m/>
    <n v="1"/>
    <x v="0"/>
    <n v="0"/>
    <n v="0"/>
    <x v="4"/>
    <n v="-3.32"/>
  </r>
  <r>
    <s v="c-24"/>
    <x v="24"/>
    <x v="1"/>
    <s v="SAP Fieldglass"/>
    <x v="8"/>
    <n v="30"/>
    <x v="0"/>
    <x v="0"/>
    <x v="2"/>
    <s v="Active"/>
    <d v="2028-01-20T00:00:00"/>
    <n v="501"/>
    <x v="1"/>
    <d v="2025-09-10T00:00:00"/>
    <d v="2025-09-17T06:16:31"/>
    <d v="2025-09-26T13:40:23"/>
    <d v="2025-09-29T23:20:06"/>
    <n v="7.3"/>
    <n v="9.3000000000000007"/>
    <n v="3.4"/>
    <n v="20"/>
    <n v="11.2"/>
    <x v="0"/>
    <s v="Active"/>
    <s v="Active"/>
    <x v="1"/>
    <m/>
    <n v="1"/>
    <x v="0"/>
    <n v="0"/>
    <n v="0"/>
    <x v="8"/>
    <n v="3.98"/>
  </r>
  <r>
    <s v="c-25"/>
    <x v="25"/>
    <x v="3"/>
    <s v="SAP Fieldglass"/>
    <x v="12"/>
    <n v="55"/>
    <x v="4"/>
    <x v="1"/>
    <x v="1"/>
    <s v="Active"/>
    <d v="2027-05-09T00:00:00"/>
    <n v="245"/>
    <x v="0"/>
    <d v="2025-10-16T00:00:00"/>
    <d v="2025-10-19T05:39:37"/>
    <d v="2025-10-29T07:07:12"/>
    <d v="2025-11-06T15:51:26"/>
    <n v="3.2"/>
    <n v="10.1"/>
    <n v="8.4"/>
    <n v="21.7"/>
    <n v="10"/>
    <x v="0"/>
    <s v="Active"/>
    <s v="Active (Duplicate)"/>
    <x v="2"/>
    <n v="46262"/>
    <n v="1"/>
    <x v="0"/>
    <n v="0"/>
    <n v="1"/>
    <x v="12"/>
    <n v="3.39"/>
  </r>
  <r>
    <s v="c-26"/>
    <x v="26"/>
    <x v="2"/>
    <s v="Beeline"/>
    <x v="0"/>
    <n v="64"/>
    <x v="3"/>
    <x v="0"/>
    <x v="3"/>
    <s v="Active"/>
    <d v="2026-11-15T00:00:00"/>
    <n v="70"/>
    <x v="0"/>
    <d v="2025-11-19T00:00:00"/>
    <d v="2025-11-28T16:12:32"/>
    <d v="2025-12-04T00:15:32"/>
    <d v="2025-12-08T03:56:58"/>
    <n v="9.6999999999999993"/>
    <n v="5.3"/>
    <n v="4.2"/>
    <n v="19.2"/>
    <n v="8.9"/>
    <x v="0"/>
    <s v="Active"/>
    <s v="Active"/>
    <x v="1"/>
    <m/>
    <n v="1"/>
    <x v="0"/>
    <n v="1"/>
    <n v="0"/>
    <x v="0"/>
    <n v="-2.2799999999999998"/>
  </r>
  <r>
    <s v="c-27"/>
    <x v="27"/>
    <x v="6"/>
    <s v="SAP Fieldglass"/>
    <x v="1"/>
    <n v="60"/>
    <x v="3"/>
    <x v="1"/>
    <x v="0"/>
    <s v="Active"/>
    <d v="2026-10-23T00:00:00"/>
    <n v="47"/>
    <x v="2"/>
    <d v="2025-05-25T00:00:00"/>
    <d v="2025-06-02T23:52:34"/>
    <d v="2025-06-12T05:00:01"/>
    <d v="2025-06-15T05:00:34"/>
    <n v="9"/>
    <n v="9.1999999999999993"/>
    <n v="3"/>
    <n v="21.2"/>
    <n v="14.7"/>
    <x v="1"/>
    <s v="Active"/>
    <s v="Active"/>
    <x v="1"/>
    <m/>
    <n v="1"/>
    <x v="0"/>
    <n v="1"/>
    <n v="0"/>
    <x v="1"/>
    <n v="4.4400000000000004"/>
  </r>
  <r>
    <s v="c-28"/>
    <x v="28"/>
    <x v="4"/>
    <s v="SAP Fieldglass"/>
    <x v="8"/>
    <n v="38"/>
    <x v="0"/>
    <x v="1"/>
    <x v="1"/>
    <s v="Active"/>
    <d v="2026-11-25T00:00:00"/>
    <n v="80"/>
    <x v="2"/>
    <d v="2025-09-03T00:00:00"/>
    <d v="2025-09-07T04:59:03"/>
    <d v="2025-09-12T10:24:10"/>
    <d v="2025-09-18T04:45:57"/>
    <n v="4.2"/>
    <n v="5.2"/>
    <n v="5.8"/>
    <n v="15.2"/>
    <n v="11.6"/>
    <x v="0"/>
    <s v="Active"/>
    <s v="Active"/>
    <x v="1"/>
    <m/>
    <n v="1"/>
    <x v="0"/>
    <n v="1"/>
    <n v="0"/>
    <x v="8"/>
    <n v="4.12"/>
  </r>
  <r>
    <s v="c-29"/>
    <x v="29"/>
    <x v="7"/>
    <s v="Beeline"/>
    <x v="3"/>
    <n v="59"/>
    <x v="4"/>
    <x v="1"/>
    <x v="3"/>
    <s v="Active"/>
    <d v="2027-08-11T00:00:00"/>
    <n v="339"/>
    <x v="0"/>
    <d v="2025-10-26T00:00:00"/>
    <d v="2025-10-30T12:46:32"/>
    <d v="2025-11-09T04:47:55"/>
    <d v="2025-11-16T06:55:49"/>
    <n v="4.5"/>
    <n v="9.6999999999999993"/>
    <n v="7.1"/>
    <n v="21.3"/>
    <n v="9.6"/>
    <x v="0"/>
    <s v="Active"/>
    <s v="Pending Offboard"/>
    <x v="0"/>
    <n v="46265"/>
    <n v="1"/>
    <x v="0"/>
    <n v="0"/>
    <n v="1"/>
    <x v="3"/>
    <n v="0.64"/>
  </r>
  <r>
    <s v="c-30"/>
    <x v="30"/>
    <x v="1"/>
    <s v="SAP Fieldglass"/>
    <x v="9"/>
    <n v="33"/>
    <x v="0"/>
    <x v="1"/>
    <x v="0"/>
    <s v="Active"/>
    <d v="2026-10-11T00:00:00"/>
    <n v="35"/>
    <x v="0"/>
    <d v="2026-05-07T00:00:00"/>
    <d v="2026-05-16T20:31:59"/>
    <d v="2026-05-21T18:06:45"/>
    <d v="2026-05-30T12:37:27"/>
    <n v="9.9"/>
    <n v="4.9000000000000004"/>
    <n v="8.8000000000000007"/>
    <n v="23.5"/>
    <n v="3.2"/>
    <x v="3"/>
    <s v="Active"/>
    <s v="Active"/>
    <x v="1"/>
    <m/>
    <n v="1"/>
    <x v="0"/>
    <n v="1"/>
    <n v="0"/>
    <x v="9"/>
    <n v="5.64"/>
  </r>
  <r>
    <s v="c-31"/>
    <x v="31"/>
    <x v="0"/>
    <s v="Beeline"/>
    <x v="11"/>
    <n v="56"/>
    <x v="4"/>
    <x v="0"/>
    <x v="1"/>
    <s v="Active"/>
    <d v="2026-09-26T00:00:00"/>
    <n v="20"/>
    <x v="1"/>
    <d v="2025-04-09T00:00:00"/>
    <d v="2025-04-15T03:41:53"/>
    <d v="2025-04-21T13:29:21"/>
    <d v="2025-04-24T21:26:08"/>
    <n v="6.2"/>
    <n v="6.4"/>
    <n v="3.3"/>
    <n v="15.9"/>
    <n v="16.399999999999999"/>
    <x v="1"/>
    <s v="Active"/>
    <s v="Active"/>
    <x v="1"/>
    <m/>
    <n v="1"/>
    <x v="1"/>
    <n v="1"/>
    <n v="0"/>
    <x v="11"/>
    <n v="4.05"/>
  </r>
  <r>
    <s v="c-32"/>
    <x v="32"/>
    <x v="2"/>
    <s v="Beeline"/>
    <x v="13"/>
    <n v="63"/>
    <x v="3"/>
    <x v="0"/>
    <x v="1"/>
    <s v="Active"/>
    <d v="2026-11-03T00:00:00"/>
    <n v="58"/>
    <x v="0"/>
    <d v="2026-01-31T00:00:00"/>
    <d v="2026-02-03T02:29:28"/>
    <d v="2026-02-10T17:15:39"/>
    <d v="2026-02-15T04:38:47"/>
    <n v="3.1"/>
    <n v="7.6"/>
    <n v="4.5"/>
    <n v="15.2"/>
    <n v="6.7"/>
    <x v="0"/>
    <s v="Active"/>
    <s v="Active"/>
    <x v="1"/>
    <m/>
    <n v="1"/>
    <x v="0"/>
    <n v="1"/>
    <n v="0"/>
    <x v="13"/>
    <n v="3.13"/>
  </r>
  <r>
    <s v="c-33"/>
    <x v="33"/>
    <x v="0"/>
    <s v="Beeline"/>
    <x v="15"/>
    <n v="33"/>
    <x v="0"/>
    <x v="0"/>
    <x v="0"/>
    <s v="Active"/>
    <d v="2028-02-24T00:00:00"/>
    <n v="536"/>
    <x v="1"/>
    <d v="2025-04-22T00:00:00"/>
    <d v="2025-04-28T04:25:32"/>
    <d v="2025-05-07T00:12:31"/>
    <d v="2025-05-09T03:48:35"/>
    <n v="6.2"/>
    <n v="8.8000000000000007"/>
    <n v="2.2000000000000002"/>
    <n v="17.2"/>
    <n v="15.9"/>
    <x v="1"/>
    <s v="Active"/>
    <s v="Active"/>
    <x v="1"/>
    <m/>
    <n v="1"/>
    <x v="0"/>
    <n v="0"/>
    <n v="0"/>
    <x v="15"/>
    <n v="-2.87"/>
  </r>
  <r>
    <s v="c-34"/>
    <x v="34"/>
    <x v="0"/>
    <s v="Beeline"/>
    <x v="1"/>
    <n v="29"/>
    <x v="2"/>
    <x v="1"/>
    <x v="0"/>
    <s v="Active"/>
    <d v="2028-02-22T00:00:00"/>
    <n v="534"/>
    <x v="2"/>
    <d v="2026-01-01T00:00:00"/>
    <d v="2026-01-05T05:51:41"/>
    <d v="2026-01-14T20:33:31"/>
    <d v="2026-01-21T09:59:03"/>
    <n v="4.2"/>
    <n v="9.6"/>
    <n v="6.6"/>
    <n v="20.399999999999999"/>
    <n v="7.5"/>
    <x v="0"/>
    <s v="Active"/>
    <s v="Active"/>
    <x v="1"/>
    <m/>
    <n v="1"/>
    <x v="0"/>
    <n v="0"/>
    <n v="0"/>
    <x v="1"/>
    <n v="3.63"/>
  </r>
  <r>
    <s v="c-35"/>
    <x v="35"/>
    <x v="5"/>
    <s v="Beeline"/>
    <x v="11"/>
    <n v="43"/>
    <x v="1"/>
    <x v="0"/>
    <x v="4"/>
    <s v="Active"/>
    <d v="2027-02-14T00:00:00"/>
    <n v="161"/>
    <x v="1"/>
    <d v="2025-10-08T00:00:00"/>
    <d v="2025-10-11T00:10:04"/>
    <d v="2025-10-21T05:53:21"/>
    <d v="2025-10-23T07:48:43"/>
    <n v="3"/>
    <n v="10.199999999999999"/>
    <n v="2.1"/>
    <n v="15.3"/>
    <n v="10.4"/>
    <x v="0"/>
    <s v="Active"/>
    <s v="Active"/>
    <x v="1"/>
    <m/>
    <n v="1"/>
    <x v="0"/>
    <n v="0"/>
    <n v="0"/>
    <x v="11"/>
    <n v="-1.94"/>
  </r>
  <r>
    <s v="c-36"/>
    <x v="36"/>
    <x v="3"/>
    <s v="SAP Fieldglass"/>
    <x v="0"/>
    <n v="59"/>
    <x v="4"/>
    <x v="0"/>
    <x v="1"/>
    <s v="Active"/>
    <d v="2028-01-17T00:00:00"/>
    <n v="498"/>
    <x v="1"/>
    <d v="2025-07-09T00:00:00"/>
    <d v="2025-07-16T03:17:04"/>
    <d v="2025-07-24T06:34:46"/>
    <d v="2025-07-26T12:42:32"/>
    <n v="7.1"/>
    <n v="8.1"/>
    <n v="2.2999999999999998"/>
    <n v="17.5"/>
    <n v="13.4"/>
    <x v="1"/>
    <s v="Active"/>
    <s v="Active"/>
    <x v="1"/>
    <m/>
    <n v="1"/>
    <x v="0"/>
    <n v="0"/>
    <n v="0"/>
    <x v="0"/>
    <n v="-3.85"/>
  </r>
  <r>
    <s v="c-37"/>
    <x v="37"/>
    <x v="1"/>
    <s v="SAP Fieldglass"/>
    <x v="0"/>
    <n v="53"/>
    <x v="4"/>
    <x v="0"/>
    <x v="1"/>
    <s v="Active"/>
    <d v="2026-11-16T00:00:00"/>
    <n v="71"/>
    <x v="1"/>
    <d v="2026-01-12T00:00:00"/>
    <d v="2026-01-16T14:11:42"/>
    <d v="2026-01-20T05:54:08"/>
    <d v="2026-01-23T10:56:30"/>
    <n v="4.5999999999999996"/>
    <n v="3.7"/>
    <n v="3.2"/>
    <n v="11.5"/>
    <n v="7.4"/>
    <x v="0"/>
    <s v="Active"/>
    <s v="Active"/>
    <x v="1"/>
    <m/>
    <n v="1"/>
    <x v="0"/>
    <n v="1"/>
    <n v="0"/>
    <x v="0"/>
    <n v="2.66"/>
  </r>
  <r>
    <s v="c-38"/>
    <x v="38"/>
    <x v="5"/>
    <s v="Beeline"/>
    <x v="1"/>
    <n v="32"/>
    <x v="0"/>
    <x v="1"/>
    <x v="0"/>
    <s v="Active"/>
    <d v="2027-05-11T00:00:00"/>
    <n v="247"/>
    <x v="1"/>
    <d v="2026-02-09T00:00:00"/>
    <d v="2026-02-17T07:01:25"/>
    <d v="2026-02-23T15:10:12"/>
    <d v="2026-02-24T23:45:29"/>
    <n v="8.3000000000000007"/>
    <n v="6.3"/>
    <n v="1.4"/>
    <n v="16"/>
    <n v="6.3"/>
    <x v="0"/>
    <s v="Active"/>
    <s v="Active"/>
    <x v="1"/>
    <m/>
    <n v="1"/>
    <x v="0"/>
    <n v="0"/>
    <n v="0"/>
    <x v="1"/>
    <n v="-5.97"/>
  </r>
  <r>
    <s v="c-39"/>
    <x v="39"/>
    <x v="3"/>
    <s v="SAP Fieldglass"/>
    <x v="11"/>
    <n v="49"/>
    <x v="1"/>
    <x v="0"/>
    <x v="4"/>
    <s v="Active"/>
    <d v="2026-11-14T00:00:00"/>
    <n v="69"/>
    <x v="2"/>
    <d v="2025-09-21T00:00:00"/>
    <d v="2025-09-23T15:06:25"/>
    <d v="2025-09-27T20:57:14"/>
    <d v="2025-09-29T09:12:19"/>
    <n v="2.6"/>
    <n v="4.2"/>
    <n v="1.5"/>
    <n v="8.4"/>
    <n v="11.2"/>
    <x v="0"/>
    <s v="Active"/>
    <s v="Active"/>
    <x v="1"/>
    <m/>
    <n v="1"/>
    <x v="0"/>
    <n v="1"/>
    <n v="0"/>
    <x v="11"/>
    <n v="0.1"/>
  </r>
  <r>
    <s v="c-40"/>
    <x v="40"/>
    <x v="6"/>
    <s v="SAP Fieldglass"/>
    <x v="16"/>
    <n v="51"/>
    <x v="4"/>
    <x v="0"/>
    <x v="1"/>
    <s v="Active"/>
    <d v="2026-11-16T00:00:00"/>
    <n v="71"/>
    <x v="2"/>
    <d v="2025-04-19T00:00:00"/>
    <d v="2025-04-25T11:47:35"/>
    <d v="2025-04-28T18:47:58"/>
    <d v="2025-05-01T10:39:30"/>
    <n v="6.5"/>
    <n v="3.3"/>
    <n v="2.7"/>
    <n v="12.4"/>
    <n v="16.2"/>
    <x v="1"/>
    <s v="Active"/>
    <s v="Active"/>
    <x v="1"/>
    <m/>
    <n v="1"/>
    <x v="0"/>
    <n v="1"/>
    <n v="0"/>
    <x v="16"/>
    <n v="1.62"/>
  </r>
  <r>
    <s v="c-41"/>
    <x v="41"/>
    <x v="3"/>
    <s v="SAP Fieldglass"/>
    <x v="17"/>
    <n v="30"/>
    <x v="0"/>
    <x v="1"/>
    <x v="1"/>
    <s v="Pending Offboard"/>
    <d v="2026-09-03T00:00:00"/>
    <n v="-3"/>
    <x v="0"/>
    <d v="2025-10-15T00:00:00"/>
    <d v="2025-10-19T19:13:37"/>
    <d v="2025-10-26T18:47:16"/>
    <d v="2025-10-29T12:27:30"/>
    <n v="4.8"/>
    <n v="7"/>
    <n v="2.7"/>
    <n v="14.5"/>
    <n v="10.199999999999999"/>
    <x v="0"/>
    <s v="Terminated"/>
    <s v="Terminated"/>
    <x v="1"/>
    <m/>
    <n v="0"/>
    <x v="1"/>
    <n v="1"/>
    <n v="0"/>
    <x v="17"/>
    <n v="4.4400000000000004"/>
  </r>
  <r>
    <s v="c-42"/>
    <x v="42"/>
    <x v="5"/>
    <s v="Beeline"/>
    <x v="14"/>
    <n v="60"/>
    <x v="3"/>
    <x v="1"/>
    <x v="2"/>
    <s v="Active"/>
    <d v="2027-09-06T00:00:00"/>
    <n v="365"/>
    <x v="1"/>
    <d v="2026-04-29T00:00:00"/>
    <d v="2026-05-08T12:38:05"/>
    <d v="2026-05-12T06:20:17"/>
    <d v="2026-05-17T04:11:48"/>
    <n v="9.5"/>
    <n v="3.7"/>
    <n v="4.9000000000000004"/>
    <n v="18.2"/>
    <n v="3.7"/>
    <x v="3"/>
    <s v="Active"/>
    <s v="Active"/>
    <x v="1"/>
    <m/>
    <n v="1"/>
    <x v="0"/>
    <n v="0"/>
    <n v="0"/>
    <x v="14"/>
    <n v="0.1"/>
  </r>
  <r>
    <s v="c-43"/>
    <x v="43"/>
    <x v="2"/>
    <s v="Beeline"/>
    <x v="18"/>
    <n v="56"/>
    <x v="4"/>
    <x v="1"/>
    <x v="2"/>
    <s v="Active"/>
    <d v="2026-09-13T00:00:00"/>
    <n v="7"/>
    <x v="1"/>
    <d v="2025-06-23T00:00:00"/>
    <d v="2025-07-01T09:00:55"/>
    <d v="2025-07-11T14:29:53"/>
    <d v="2025-07-17T11:52:42"/>
    <n v="8.4"/>
    <n v="10.199999999999999"/>
    <n v="5.9"/>
    <n v="24.5"/>
    <n v="13.7"/>
    <x v="1"/>
    <s v="Active"/>
    <s v="Active"/>
    <x v="1"/>
    <m/>
    <n v="1"/>
    <x v="1"/>
    <n v="1"/>
    <n v="0"/>
    <x v="18"/>
    <n v="-4.4000000000000004"/>
  </r>
  <r>
    <s v="c-44"/>
    <x v="44"/>
    <x v="4"/>
    <s v="SAP Fieldglass"/>
    <x v="13"/>
    <n v="49"/>
    <x v="1"/>
    <x v="1"/>
    <x v="2"/>
    <s v="Active"/>
    <d v="2027-11-16T00:00:00"/>
    <n v="436"/>
    <x v="0"/>
    <d v="2025-09-21T00:00:00"/>
    <d v="2025-09-24T06:39:14"/>
    <d v="2025-09-28T00:23:18"/>
    <d v="2025-10-03T07:19:11"/>
    <n v="3.3"/>
    <n v="3.7"/>
    <n v="5.3"/>
    <n v="12.3"/>
    <n v="11.1"/>
    <x v="0"/>
    <s v="Active"/>
    <s v="Active"/>
    <x v="1"/>
    <m/>
    <n v="1"/>
    <x v="0"/>
    <n v="0"/>
    <n v="0"/>
    <x v="13"/>
    <n v="-1.73"/>
  </r>
  <r>
    <s v="c-45"/>
    <x v="45"/>
    <x v="7"/>
    <s v="Beeline"/>
    <x v="11"/>
    <n v="31"/>
    <x v="0"/>
    <x v="1"/>
    <x v="1"/>
    <s v="Active"/>
    <d v="2027-10-09T00:00:00"/>
    <n v="398"/>
    <x v="1"/>
    <d v="2025-11-08T00:00:00"/>
    <d v="2025-11-10T06:41:17"/>
    <d v="2025-11-19T16:10:37"/>
    <d v="2025-11-26T23:48:58"/>
    <n v="2.2999999999999998"/>
    <n v="9.4"/>
    <n v="7.3"/>
    <n v="19"/>
    <n v="9.3000000000000007"/>
    <x v="0"/>
    <s v="Active"/>
    <s v="Active"/>
    <x v="1"/>
    <m/>
    <n v="1"/>
    <x v="0"/>
    <n v="0"/>
    <n v="0"/>
    <x v="11"/>
    <n v="0.54"/>
  </r>
  <r>
    <s v="c-46"/>
    <x v="46"/>
    <x v="3"/>
    <s v="SAP Fieldglass"/>
    <x v="14"/>
    <n v="37"/>
    <x v="0"/>
    <x v="1"/>
    <x v="4"/>
    <s v="Active"/>
    <d v="2027-10-26T00:00:00"/>
    <n v="415"/>
    <x v="0"/>
    <d v="2025-09-20T00:00:00"/>
    <d v="2025-09-25T15:31:00"/>
    <d v="2025-10-03T00:52:43"/>
    <d v="2025-10-08T20:47:25"/>
    <n v="5.6"/>
    <n v="7.4"/>
    <n v="5.8"/>
    <n v="18.899999999999999"/>
    <n v="10.9"/>
    <x v="0"/>
    <s v="Active - Ends okt. 26, 2027"/>
    <s v="Active - Ends nov. 23, 2027"/>
    <x v="4"/>
    <n v="46249"/>
    <n v="1"/>
    <x v="0"/>
    <n v="0"/>
    <n v="1"/>
    <x v="14"/>
    <n v="-4.1100000000000003"/>
  </r>
  <r>
    <s v="c-47"/>
    <x v="47"/>
    <x v="0"/>
    <s v="Beeline"/>
    <x v="15"/>
    <n v="25"/>
    <x v="2"/>
    <x v="1"/>
    <x v="1"/>
    <s v="Active"/>
    <d v="2026-09-18T00:00:00"/>
    <n v="12"/>
    <x v="1"/>
    <d v="2025-08-27T00:00:00"/>
    <d v="2025-08-30T16:42:08"/>
    <d v="2025-09-06T15:41:56"/>
    <d v="2025-09-13T13:08:57"/>
    <n v="3.7"/>
    <n v="7"/>
    <n v="6.9"/>
    <n v="17.5"/>
    <n v="11.7"/>
    <x v="0"/>
    <s v="Active"/>
    <s v="Pending Offboard"/>
    <x v="0"/>
    <n v="46251"/>
    <n v="1"/>
    <x v="1"/>
    <n v="1"/>
    <n v="1"/>
    <x v="15"/>
    <n v="1.19"/>
  </r>
  <r>
    <s v="c-48"/>
    <x v="48"/>
    <x v="5"/>
    <s v="Beeline"/>
    <x v="16"/>
    <n v="28"/>
    <x v="2"/>
    <x v="0"/>
    <x v="0"/>
    <s v="Active"/>
    <d v="2028-01-25T00:00:00"/>
    <n v="506"/>
    <x v="1"/>
    <d v="2026-01-27T00:00:00"/>
    <d v="2026-02-02T03:35:35"/>
    <d v="2026-02-08T12:04:59"/>
    <d v="2026-02-14T13:54:30"/>
    <n v="6.1"/>
    <n v="6.4"/>
    <n v="6.1"/>
    <n v="18.600000000000001"/>
    <n v="6.7"/>
    <x v="0"/>
    <s v="Active"/>
    <s v="Active (Duplicate)"/>
    <x v="2"/>
    <n v="46252"/>
    <n v="1"/>
    <x v="0"/>
    <n v="0"/>
    <n v="1"/>
    <x v="16"/>
    <n v="3.67"/>
  </r>
  <r>
    <s v="c-49"/>
    <x v="49"/>
    <x v="7"/>
    <s v="Beeline"/>
    <x v="1"/>
    <n v="61"/>
    <x v="3"/>
    <x v="1"/>
    <x v="0"/>
    <s v="Active"/>
    <d v="2027-04-13T00:00:00"/>
    <n v="219"/>
    <x v="0"/>
    <d v="2025-05-05T00:00:00"/>
    <d v="2025-05-07T08:13:54"/>
    <d v="2025-05-13T04:32:22"/>
    <d v="2025-05-21T06:57:39"/>
    <n v="2.2999999999999998"/>
    <n v="5.8"/>
    <n v="8.1"/>
    <n v="16.3"/>
    <n v="15.5"/>
    <x v="1"/>
    <s v="Active"/>
    <s v="Active"/>
    <x v="1"/>
    <m/>
    <n v="1"/>
    <x v="0"/>
    <n v="0"/>
    <n v="0"/>
    <x v="1"/>
    <n v="1.33"/>
  </r>
  <r>
    <s v="c-50"/>
    <x v="50"/>
    <x v="1"/>
    <s v="SAP Fieldglass"/>
    <x v="4"/>
    <n v="36"/>
    <x v="0"/>
    <x v="1"/>
    <x v="0"/>
    <s v="Active"/>
    <d v="2028-01-03T00:00:00"/>
    <n v="484"/>
    <x v="1"/>
    <d v="2026-04-02T00:00:00"/>
    <d v="2026-04-04T01:01:58"/>
    <d v="2026-04-11T19:50:47"/>
    <d v="2026-04-13T04:21:56"/>
    <n v="2"/>
    <n v="7.8"/>
    <n v="1.4"/>
    <n v="11.2"/>
    <n v="4.8"/>
    <x v="3"/>
    <s v="Active"/>
    <s v="Active"/>
    <x v="1"/>
    <m/>
    <n v="1"/>
    <x v="0"/>
    <n v="0"/>
    <n v="0"/>
    <x v="4"/>
    <n v="4.17"/>
  </r>
  <r>
    <s v="c-51"/>
    <x v="51"/>
    <x v="6"/>
    <s v="SAP Fieldglass"/>
    <x v="7"/>
    <n v="40"/>
    <x v="1"/>
    <x v="0"/>
    <x v="0"/>
    <s v="Active"/>
    <d v="2026-09-16T00:00:00"/>
    <n v="10"/>
    <x v="1"/>
    <d v="2026-03-22T00:00:00"/>
    <d v="2026-03-31T03:56:23"/>
    <d v="2026-04-10T11:56:16"/>
    <d v="2026-04-16T23:33:17"/>
    <n v="9.1999999999999993"/>
    <n v="10.3"/>
    <n v="6.5"/>
    <n v="26"/>
    <n v="4.7"/>
    <x v="3"/>
    <s v="Active"/>
    <s v="Active"/>
    <x v="1"/>
    <m/>
    <n v="1"/>
    <x v="1"/>
    <n v="1"/>
    <n v="0"/>
    <x v="7"/>
    <n v="1.54"/>
  </r>
  <r>
    <s v="c-52"/>
    <x v="52"/>
    <x v="4"/>
    <s v="SAP Fieldglass"/>
    <x v="11"/>
    <n v="27"/>
    <x v="2"/>
    <x v="1"/>
    <x v="0"/>
    <s v="Active"/>
    <d v="2026-12-04T00:00:00"/>
    <n v="89"/>
    <x v="2"/>
    <d v="2025-04-17T00:00:00"/>
    <d v="2025-04-25T11:22:52"/>
    <d v="2025-05-05T12:30:47"/>
    <d v="2025-05-12T02:28:52"/>
    <n v="8.5"/>
    <n v="10"/>
    <n v="6.6"/>
    <n v="25.1"/>
    <n v="15.8"/>
    <x v="1"/>
    <s v="Active"/>
    <s v="Active (Duplicate)"/>
    <x v="2"/>
    <n v="46256"/>
    <n v="1"/>
    <x v="0"/>
    <n v="1"/>
    <n v="1"/>
    <x v="11"/>
    <n v="-2.37"/>
  </r>
  <r>
    <s v="c-53"/>
    <x v="53"/>
    <x v="3"/>
    <s v="SAP Fieldglass"/>
    <x v="16"/>
    <n v="54"/>
    <x v="4"/>
    <x v="1"/>
    <x v="3"/>
    <s v="Active"/>
    <d v="2027-01-16T00:00:00"/>
    <n v="132"/>
    <x v="0"/>
    <d v="2026-05-25T00:00:00"/>
    <d v="2026-05-27T16:42:26"/>
    <d v="2026-06-04T17:19:03"/>
    <d v="2026-06-12T20:31:35"/>
    <n v="2.7"/>
    <n v="8"/>
    <n v="8.1"/>
    <n v="18.899999999999999"/>
    <n v="2.8"/>
    <x v="2"/>
    <s v="Active"/>
    <s v="Active"/>
    <x v="1"/>
    <m/>
    <n v="1"/>
    <x v="0"/>
    <n v="0"/>
    <n v="0"/>
    <x v="16"/>
    <n v="-4.9800000000000004"/>
  </r>
  <r>
    <s v="c-54"/>
    <x v="54"/>
    <x v="6"/>
    <s v="SAP Fieldglass"/>
    <x v="15"/>
    <n v="35"/>
    <x v="0"/>
    <x v="0"/>
    <x v="1"/>
    <s v="Active"/>
    <d v="2027-01-17T00:00:00"/>
    <n v="133"/>
    <x v="0"/>
    <d v="2026-06-16T00:00:00"/>
    <d v="2026-06-21T10:26:48"/>
    <d v="2026-07-01T12:08:38"/>
    <d v="2026-07-04T12:40:19"/>
    <n v="5.4"/>
    <n v="10.1"/>
    <n v="3"/>
    <n v="18.5"/>
    <n v="2.1"/>
    <x v="2"/>
    <s v="Active"/>
    <s v="Pending Offboard"/>
    <x v="0"/>
    <n v="46257"/>
    <n v="1"/>
    <x v="0"/>
    <n v="0"/>
    <n v="1"/>
    <x v="15"/>
    <n v="1.6"/>
  </r>
  <r>
    <s v="c-55"/>
    <x v="55"/>
    <x v="7"/>
    <s v="Beeline"/>
    <x v="11"/>
    <n v="24"/>
    <x v="2"/>
    <x v="1"/>
    <x v="0"/>
    <s v="Active"/>
    <d v="2027-09-19T00:00:00"/>
    <n v="378"/>
    <x v="0"/>
    <d v="2025-05-31T00:00:00"/>
    <d v="2025-06-05T08:57:03"/>
    <d v="2025-06-10T18:06:50"/>
    <d v="2025-06-13T12:25:56"/>
    <n v="5.4"/>
    <n v="5.4"/>
    <n v="2.8"/>
    <n v="13.5"/>
    <n v="14.8"/>
    <x v="1"/>
    <s v="Active"/>
    <s v="Active"/>
    <x v="1"/>
    <m/>
    <n v="1"/>
    <x v="0"/>
    <n v="0"/>
    <n v="0"/>
    <x v="11"/>
    <n v="1.75"/>
  </r>
  <r>
    <s v="c-56"/>
    <x v="56"/>
    <x v="1"/>
    <s v="SAP Fieldglass"/>
    <x v="7"/>
    <n v="23"/>
    <x v="2"/>
    <x v="0"/>
    <x v="1"/>
    <s v="Active"/>
    <d v="2026-10-25T00:00:00"/>
    <n v="49"/>
    <x v="2"/>
    <d v="2025-07-18T00:00:00"/>
    <d v="2025-07-27T08:30:26"/>
    <d v="2025-08-07T03:05:47"/>
    <d v="2025-08-14T07:32:02"/>
    <n v="9.4"/>
    <n v="10.8"/>
    <n v="7.2"/>
    <n v="27.3"/>
    <n v="12.7"/>
    <x v="1"/>
    <s v="Active"/>
    <s v="Active"/>
    <x v="1"/>
    <m/>
    <n v="1"/>
    <x v="0"/>
    <n v="1"/>
    <n v="0"/>
    <x v="7"/>
    <n v="-5.49"/>
  </r>
  <r>
    <s v="c-57"/>
    <x v="57"/>
    <x v="5"/>
    <s v="Beeline"/>
    <x v="13"/>
    <n v="29"/>
    <x v="2"/>
    <x v="1"/>
    <x v="2"/>
    <s v="Active"/>
    <d v="2026-10-01T00:00:00"/>
    <n v="25"/>
    <x v="1"/>
    <d v="2025-07-13T00:00:00"/>
    <d v="2025-07-22T16:42:52"/>
    <d v="2025-07-27T13:34:59"/>
    <d v="2025-08-04T10:17:43"/>
    <n v="9.6999999999999993"/>
    <n v="4.9000000000000004"/>
    <n v="7.9"/>
    <n v="22.4"/>
    <n v="13.1"/>
    <x v="1"/>
    <s v="Active"/>
    <s v="Active"/>
    <x v="1"/>
    <m/>
    <n v="1"/>
    <x v="1"/>
    <n v="1"/>
    <n v="0"/>
    <x v="13"/>
    <n v="-4.76"/>
  </r>
  <r>
    <s v="c-58"/>
    <x v="58"/>
    <x v="0"/>
    <s v="Beeline"/>
    <x v="15"/>
    <n v="49"/>
    <x v="1"/>
    <x v="0"/>
    <x v="4"/>
    <s v="Active"/>
    <d v="2027-11-11T00:00:00"/>
    <n v="431"/>
    <x v="1"/>
    <d v="2025-05-21T00:00:00"/>
    <d v="2025-05-27T23:56:08"/>
    <d v="2025-06-05T16:20:05"/>
    <d v="2025-06-09T11:02:34"/>
    <n v="7"/>
    <n v="8.6999999999999993"/>
    <n v="3.8"/>
    <n v="19.5"/>
    <n v="14.9"/>
    <x v="1"/>
    <s v="Active"/>
    <s v="Active"/>
    <x v="1"/>
    <m/>
    <n v="1"/>
    <x v="0"/>
    <n v="0"/>
    <n v="0"/>
    <x v="15"/>
    <n v="3.55"/>
  </r>
  <r>
    <s v="c-59"/>
    <x v="59"/>
    <x v="4"/>
    <s v="SAP Fieldglass"/>
    <x v="11"/>
    <n v="25"/>
    <x v="2"/>
    <x v="1"/>
    <x v="1"/>
    <s v="Active"/>
    <d v="2026-10-30T00:00:00"/>
    <n v="54"/>
    <x v="0"/>
    <d v="2025-09-14T00:00:00"/>
    <d v="2025-09-21T01:48:15"/>
    <d v="2025-09-25T15:40:18"/>
    <d v="2025-10-02T20:56:25"/>
    <n v="7.1"/>
    <n v="4.5999999999999996"/>
    <n v="7.2"/>
    <n v="18.899999999999999"/>
    <n v="11.1"/>
    <x v="0"/>
    <s v="Active"/>
    <s v="Active"/>
    <x v="1"/>
    <m/>
    <n v="1"/>
    <x v="0"/>
    <n v="1"/>
    <n v="0"/>
    <x v="11"/>
    <n v="-1.89"/>
  </r>
  <r>
    <s v="c-60"/>
    <x v="60"/>
    <x v="6"/>
    <s v="SAP Fieldglass"/>
    <x v="13"/>
    <n v="34"/>
    <x v="0"/>
    <x v="0"/>
    <x v="1"/>
    <s v="Active"/>
    <d v="2026-10-06T00:00:00"/>
    <n v="30"/>
    <x v="1"/>
    <d v="2025-10-04T00:00:00"/>
    <d v="2025-10-11T14:27:13"/>
    <d v="2025-10-17T15:13:20"/>
    <d v="2025-10-26T00:51:05"/>
    <n v="7.6"/>
    <n v="6"/>
    <n v="8.4"/>
    <n v="22"/>
    <n v="10.3"/>
    <x v="0"/>
    <s v="Active"/>
    <s v="Active"/>
    <x v="1"/>
    <m/>
    <n v="1"/>
    <x v="1"/>
    <n v="1"/>
    <n v="0"/>
    <x v="13"/>
    <n v="5.96"/>
  </r>
  <r>
    <s v="c-61"/>
    <x v="61"/>
    <x v="0"/>
    <s v="Beeline"/>
    <x v="17"/>
    <n v="55"/>
    <x v="4"/>
    <x v="0"/>
    <x v="3"/>
    <s v="Active"/>
    <d v="2028-01-31T00:00:00"/>
    <n v="512"/>
    <x v="2"/>
    <d v="2026-06-19T00:00:00"/>
    <d v="2026-06-27T11:21:37"/>
    <d v="2026-07-04T07:14:15"/>
    <d v="2026-07-05T20:26:37"/>
    <n v="8.5"/>
    <n v="6.8"/>
    <n v="1.6"/>
    <n v="16.899999999999999"/>
    <n v="2"/>
    <x v="2"/>
    <s v="Active"/>
    <s v="Active"/>
    <x v="1"/>
    <m/>
    <n v="1"/>
    <x v="0"/>
    <n v="0"/>
    <n v="0"/>
    <x v="17"/>
    <n v="-3.25"/>
  </r>
  <r>
    <s v="c-62"/>
    <x v="62"/>
    <x v="0"/>
    <s v="Beeline"/>
    <x v="0"/>
    <n v="33"/>
    <x v="0"/>
    <x v="1"/>
    <x v="0"/>
    <s v="Active"/>
    <d v="2027-04-12T00:00:00"/>
    <n v="218"/>
    <x v="0"/>
    <d v="2025-09-19T00:00:00"/>
    <d v="2025-09-26T00:09:39"/>
    <d v="2025-10-05T06:14:07"/>
    <d v="2025-10-12T08:17:06"/>
    <n v="7"/>
    <n v="9.3000000000000007"/>
    <n v="7.1"/>
    <n v="23.3"/>
    <n v="10.8"/>
    <x v="0"/>
    <s v="Active"/>
    <s v="Active (Duplicate)"/>
    <x v="2"/>
    <n v="46265"/>
    <n v="1"/>
    <x v="0"/>
    <n v="0"/>
    <n v="1"/>
    <x v="0"/>
    <n v="0.48"/>
  </r>
  <r>
    <s v="c-63"/>
    <x v="63"/>
    <x v="1"/>
    <s v="SAP Fieldglass"/>
    <x v="11"/>
    <n v="41"/>
    <x v="1"/>
    <x v="1"/>
    <x v="1"/>
    <s v="Active"/>
    <d v="2027-12-16T00:00:00"/>
    <n v="466"/>
    <x v="0"/>
    <d v="2025-09-28T00:00:00"/>
    <d v="2025-10-03T04:41:20"/>
    <d v="2025-10-09T17:19:32"/>
    <d v="2025-10-13T15:57:11"/>
    <n v="5.2"/>
    <n v="6.5"/>
    <n v="3.9"/>
    <n v="15.7"/>
    <n v="10.8"/>
    <x v="0"/>
    <s v="Active"/>
    <s v="Active"/>
    <x v="1"/>
    <m/>
    <n v="1"/>
    <x v="0"/>
    <n v="0"/>
    <n v="0"/>
    <x v="11"/>
    <n v="0.76"/>
  </r>
  <r>
    <s v="c-64"/>
    <x v="64"/>
    <x v="5"/>
    <s v="Beeline"/>
    <x v="14"/>
    <n v="58"/>
    <x v="4"/>
    <x v="0"/>
    <x v="0"/>
    <s v="Active"/>
    <d v="2027-07-25T00:00:00"/>
    <n v="322"/>
    <x v="1"/>
    <d v="2025-06-10T00:00:00"/>
    <d v="2025-06-14T05:59:57"/>
    <d v="2025-06-25T03:35:17"/>
    <d v="2025-07-04T00:26:16"/>
    <n v="4.2"/>
    <n v="10.9"/>
    <n v="8.9"/>
    <n v="24"/>
    <n v="14.1"/>
    <x v="1"/>
    <s v="Active"/>
    <s v="Active"/>
    <x v="1"/>
    <m/>
    <n v="1"/>
    <x v="0"/>
    <n v="0"/>
    <n v="0"/>
    <x v="14"/>
    <n v="5.15"/>
  </r>
  <r>
    <s v="c-65"/>
    <x v="65"/>
    <x v="7"/>
    <s v="Beeline"/>
    <x v="5"/>
    <n v="52"/>
    <x v="4"/>
    <x v="1"/>
    <x v="0"/>
    <s v="Active"/>
    <d v="2026-11-22T00:00:00"/>
    <n v="77"/>
    <x v="0"/>
    <d v="2025-07-15T00:00:00"/>
    <d v="2025-07-21T02:03:07"/>
    <d v="2025-07-29T15:09:34"/>
    <d v="2025-08-03T17:25:32"/>
    <n v="6.1"/>
    <n v="8.5"/>
    <n v="5.0999999999999996"/>
    <n v="19.7"/>
    <n v="13.1"/>
    <x v="1"/>
    <s v="Active"/>
    <s v="Active"/>
    <x v="1"/>
    <m/>
    <n v="1"/>
    <x v="0"/>
    <n v="1"/>
    <n v="0"/>
    <x v="5"/>
    <n v="0.7"/>
  </r>
  <r>
    <s v="c-66"/>
    <x v="66"/>
    <x v="5"/>
    <s v="Beeline"/>
    <x v="12"/>
    <n v="31"/>
    <x v="0"/>
    <x v="0"/>
    <x v="0"/>
    <s v="Active"/>
    <d v="2027-03-03T00:00:00"/>
    <n v="178"/>
    <x v="0"/>
    <d v="2025-04-14T00:00:00"/>
    <d v="2025-04-21T03:18:38"/>
    <d v="2025-04-28T04:37:01"/>
    <d v="2025-04-29T16:38:09"/>
    <n v="7.1"/>
    <n v="7.1"/>
    <n v="1.5"/>
    <n v="15.7"/>
    <n v="16.2"/>
    <x v="1"/>
    <s v="Active"/>
    <s v="Active"/>
    <x v="1"/>
    <m/>
    <n v="1"/>
    <x v="0"/>
    <n v="0"/>
    <n v="0"/>
    <x v="12"/>
    <n v="-5.5"/>
  </r>
  <r>
    <s v="c-67"/>
    <x v="67"/>
    <x v="6"/>
    <s v="SAP Fieldglass"/>
    <x v="1"/>
    <n v="53"/>
    <x v="4"/>
    <x v="1"/>
    <x v="3"/>
    <s v="Active"/>
    <d v="2027-08-04T00:00:00"/>
    <n v="332"/>
    <x v="2"/>
    <d v="2026-02-27T00:00:00"/>
    <d v="2026-03-04T03:28:15"/>
    <d v="2026-03-07T13:39:02"/>
    <d v="2026-03-08T19:45:26"/>
    <n v="5.0999999999999996"/>
    <n v="3.4"/>
    <n v="1.3"/>
    <n v="9.8000000000000007"/>
    <n v="6"/>
    <x v="3"/>
    <s v="Active"/>
    <s v="Active"/>
    <x v="1"/>
    <m/>
    <n v="1"/>
    <x v="0"/>
    <n v="0"/>
    <n v="0"/>
    <x v="1"/>
    <n v="2.09"/>
  </r>
  <r>
    <s v="c-68"/>
    <x v="68"/>
    <x v="6"/>
    <s v="SAP Fieldglass"/>
    <x v="8"/>
    <n v="52"/>
    <x v="4"/>
    <x v="0"/>
    <x v="3"/>
    <s v="Active"/>
    <d v="2027-09-21T00:00:00"/>
    <n v="380"/>
    <x v="2"/>
    <d v="2025-12-27T00:00:00"/>
    <d v="2026-01-03T11:08:56"/>
    <d v="2026-01-07T03:46:37"/>
    <d v="2026-01-09T01:56:33"/>
    <n v="7.5"/>
    <n v="3.7"/>
    <n v="1.9"/>
    <n v="13.1"/>
    <n v="7.9"/>
    <x v="0"/>
    <s v="Active"/>
    <s v="Active"/>
    <x v="1"/>
    <m/>
    <n v="1"/>
    <x v="0"/>
    <n v="0"/>
    <n v="0"/>
    <x v="8"/>
    <n v="-4.5599999999999996"/>
  </r>
  <r>
    <s v="c-69"/>
    <x v="69"/>
    <x v="4"/>
    <s v="SAP Fieldglass"/>
    <x v="11"/>
    <n v="36"/>
    <x v="0"/>
    <x v="1"/>
    <x v="2"/>
    <s v="Active"/>
    <d v="2027-02-14T00:00:00"/>
    <n v="161"/>
    <x v="2"/>
    <d v="2025-06-03T00:00:00"/>
    <d v="2025-06-07T08:52:40"/>
    <d v="2025-06-13T20:33:20"/>
    <d v="2025-06-20T03:53:58"/>
    <n v="4.4000000000000004"/>
    <n v="6.5"/>
    <n v="6.3"/>
    <n v="17.2"/>
    <n v="14.5"/>
    <x v="1"/>
    <s v="Active"/>
    <s v="Active"/>
    <x v="1"/>
    <m/>
    <n v="1"/>
    <x v="0"/>
    <n v="0"/>
    <n v="0"/>
    <x v="11"/>
    <n v="3.07"/>
  </r>
  <r>
    <s v="c-70"/>
    <x v="70"/>
    <x v="6"/>
    <s v="SAP Fieldglass"/>
    <x v="5"/>
    <n v="23"/>
    <x v="2"/>
    <x v="0"/>
    <x v="3"/>
    <s v="Active"/>
    <d v="2026-11-04T00:00:00"/>
    <n v="59"/>
    <x v="2"/>
    <d v="2026-01-30T00:00:00"/>
    <d v="2026-02-08T22:38:48"/>
    <d v="2026-02-16T13:23:15"/>
    <d v="2026-02-21T19:56:28"/>
    <n v="9.9"/>
    <n v="7.6"/>
    <n v="5.3"/>
    <n v="22.8"/>
    <n v="6.4"/>
    <x v="0"/>
    <s v="Active"/>
    <s v="Active"/>
    <x v="1"/>
    <m/>
    <n v="1"/>
    <x v="0"/>
    <n v="1"/>
    <n v="0"/>
    <x v="5"/>
    <n v="-5.43"/>
  </r>
  <r>
    <s v="c-71"/>
    <x v="71"/>
    <x v="3"/>
    <s v="SAP Fieldglass"/>
    <x v="3"/>
    <n v="46"/>
    <x v="1"/>
    <x v="1"/>
    <x v="0"/>
    <s v="Active"/>
    <d v="2027-05-15T00:00:00"/>
    <n v="251"/>
    <x v="0"/>
    <d v="2025-04-24T00:00:00"/>
    <d v="2025-04-29T12:09:08"/>
    <d v="2025-05-03T18:10:27"/>
    <d v="2025-05-10T23:39:33"/>
    <n v="5.5"/>
    <n v="4.3"/>
    <n v="7.2"/>
    <n v="17"/>
    <n v="15.9"/>
    <x v="1"/>
    <s v="Active"/>
    <s v="Terminated"/>
    <x v="5"/>
    <n v="46246"/>
    <n v="1"/>
    <x v="0"/>
    <n v="0"/>
    <n v="1"/>
    <x v="3"/>
    <n v="3.05"/>
  </r>
  <r>
    <s v="c-72"/>
    <x v="72"/>
    <x v="0"/>
    <s v="Beeline"/>
    <x v="19"/>
    <n v="30"/>
    <x v="0"/>
    <x v="0"/>
    <x v="2"/>
    <s v="Active"/>
    <d v="2027-11-16T00:00:00"/>
    <n v="436"/>
    <x v="1"/>
    <d v="2025-10-02T00:00:00"/>
    <d v="2025-10-05T03:24:45"/>
    <d v="2025-10-13T00:27:35"/>
    <d v="2025-10-20T09:44:54"/>
    <n v="3.1"/>
    <n v="7.9"/>
    <n v="7.4"/>
    <n v="18.399999999999999"/>
    <n v="10.5"/>
    <x v="0"/>
    <s v="Active"/>
    <s v="Active"/>
    <x v="1"/>
    <m/>
    <n v="1"/>
    <x v="0"/>
    <n v="0"/>
    <n v="0"/>
    <x v="19"/>
    <n v="4.8"/>
  </r>
  <r>
    <s v="c-73"/>
    <x v="73"/>
    <x v="2"/>
    <s v="Beeline"/>
    <x v="1"/>
    <n v="57"/>
    <x v="4"/>
    <x v="1"/>
    <x v="0"/>
    <s v="Active"/>
    <d v="2026-10-21T00:00:00"/>
    <n v="45"/>
    <x v="1"/>
    <d v="2026-01-30T00:00:00"/>
    <d v="2026-02-05T15:49:24"/>
    <d v="2026-02-16T01:33:55"/>
    <d v="2026-02-21T05:10:02"/>
    <n v="6.7"/>
    <n v="10.4"/>
    <n v="5.2"/>
    <n v="22.2"/>
    <n v="6.5"/>
    <x v="0"/>
    <s v="Active"/>
    <s v="Active"/>
    <x v="1"/>
    <m/>
    <n v="1"/>
    <x v="0"/>
    <n v="1"/>
    <n v="0"/>
    <x v="1"/>
    <n v="-0.91"/>
  </r>
  <r>
    <s v="c-74"/>
    <x v="74"/>
    <x v="0"/>
    <s v="Beeline"/>
    <x v="11"/>
    <n v="29"/>
    <x v="2"/>
    <x v="0"/>
    <x v="0"/>
    <s v="Active"/>
    <d v="2027-04-20T00:00:00"/>
    <n v="226"/>
    <x v="0"/>
    <d v="2025-07-15T00:00:00"/>
    <d v="2025-07-18T00:56:03"/>
    <d v="2025-07-25T13:27:53"/>
    <d v="2025-07-30T12:07:32"/>
    <n v="3"/>
    <n v="7.5"/>
    <n v="4.9000000000000004"/>
    <n v="15.5"/>
    <n v="13.2"/>
    <x v="1"/>
    <s v="Active"/>
    <s v="Active"/>
    <x v="1"/>
    <m/>
    <n v="1"/>
    <x v="0"/>
    <n v="0"/>
    <n v="0"/>
    <x v="11"/>
    <n v="3.34"/>
  </r>
  <r>
    <s v="c-75"/>
    <x v="75"/>
    <x v="1"/>
    <s v="SAP Fieldglass"/>
    <x v="20"/>
    <n v="31"/>
    <x v="0"/>
    <x v="1"/>
    <x v="3"/>
    <s v="Active"/>
    <d v="2027-11-25T00:00:00"/>
    <n v="445"/>
    <x v="0"/>
    <d v="2026-03-12T00:00:00"/>
    <d v="2026-03-14T04:55:22"/>
    <d v="2026-03-18T22:03:55"/>
    <d v="2026-03-21T09:02:12"/>
    <n v="2.2000000000000002"/>
    <n v="4.7"/>
    <n v="2.5"/>
    <n v="9.4"/>
    <n v="5.5"/>
    <x v="3"/>
    <s v="Active"/>
    <s v="Active"/>
    <x v="1"/>
    <m/>
    <n v="1"/>
    <x v="0"/>
    <n v="0"/>
    <n v="0"/>
    <x v="20"/>
    <n v="1.97"/>
  </r>
  <r>
    <s v="c-76"/>
    <x v="76"/>
    <x v="5"/>
    <s v="Beeline"/>
    <x v="1"/>
    <n v="50"/>
    <x v="4"/>
    <x v="1"/>
    <x v="3"/>
    <s v="Active"/>
    <d v="2027-03-22T00:00:00"/>
    <n v="197"/>
    <x v="1"/>
    <d v="2025-05-02T00:00:00"/>
    <d v="2025-05-08T04:25:23"/>
    <d v="2025-05-15T15:18:58"/>
    <d v="2025-05-24T08:06:09"/>
    <n v="6.2"/>
    <n v="7.5"/>
    <n v="8.6999999999999993"/>
    <n v="22.3"/>
    <n v="15.4"/>
    <x v="1"/>
    <s v="Active"/>
    <s v="Active"/>
    <x v="1"/>
    <m/>
    <n v="1"/>
    <x v="0"/>
    <n v="0"/>
    <n v="0"/>
    <x v="1"/>
    <n v="5.99"/>
  </r>
  <r>
    <s v="c-77"/>
    <x v="77"/>
    <x v="6"/>
    <s v="SAP Fieldglass"/>
    <x v="0"/>
    <n v="41"/>
    <x v="1"/>
    <x v="1"/>
    <x v="1"/>
    <s v="Active"/>
    <d v="2028-01-19T00:00:00"/>
    <n v="500"/>
    <x v="0"/>
    <d v="2025-09-12T00:00:00"/>
    <d v="2025-09-17T08:47:47"/>
    <d v="2025-09-20T17:24:57"/>
    <d v="2025-09-27T17:01:56"/>
    <n v="5.4"/>
    <n v="3.4"/>
    <n v="7"/>
    <n v="15.7"/>
    <n v="11.3"/>
    <x v="0"/>
    <s v="Active"/>
    <s v="Active"/>
    <x v="1"/>
    <m/>
    <n v="1"/>
    <x v="0"/>
    <n v="0"/>
    <n v="0"/>
    <x v="0"/>
    <n v="1.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970ACD5-7D4B-40D8-8B0D-7C4AC73D4A84}" name="namesPT" cacheId="0" applyNumberFormats="0" applyBorderFormats="0" applyFontFormats="0" applyPatternFormats="0" applyAlignmentFormats="0" applyWidthHeightFormats="1" dataCaption="Values" updatedVersion="8" minRefreshableVersion="3" showCalcMbrs="0" showDrill="0" useAutoFormatting="1" rowGrandTotals="0" colGrandTotals="0" itemPrintTitles="1" createdVersion="3" indent="0" outline="1" outlineData="1" multipleFieldFilters="0">
  <location ref="L86:O164" firstHeaderRow="1" firstDataRow="1" firstDataCol="4"/>
  <pivotFields count="33">
    <pivotField showAll="0"/>
    <pivotField axis="axisRow" outline="0" showAll="0" defaultSubtotal="0">
      <items count="80">
        <item m="1" x="79"/>
        <item m="1" x="7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s>
    </pivotField>
    <pivotField axis="axisRow" outline="0" showAll="0" defaultSubtotal="0">
      <items count="8">
        <item x="7"/>
        <item x="0"/>
        <item x="2"/>
        <item x="4"/>
        <item x="6"/>
        <item x="3"/>
        <item x="1"/>
        <item x="5"/>
      </items>
    </pivotField>
    <pivotField showAll="0"/>
    <pivotField showAll="0">
      <items count="22">
        <item x="2"/>
        <item x="1"/>
        <item x="10"/>
        <item x="13"/>
        <item x="19"/>
        <item x="3"/>
        <item x="7"/>
        <item x="6"/>
        <item x="12"/>
        <item x="16"/>
        <item x="17"/>
        <item x="9"/>
        <item x="15"/>
        <item x="8"/>
        <item x="0"/>
        <item x="5"/>
        <item x="4"/>
        <item x="11"/>
        <item x="20"/>
        <item x="14"/>
        <item x="18"/>
        <item t="default"/>
      </items>
    </pivotField>
    <pivotField showAll="0"/>
    <pivotField showAll="0">
      <items count="6">
        <item x="2"/>
        <item x="0"/>
        <item x="1"/>
        <item x="4"/>
        <item x="3"/>
        <item t="default"/>
      </items>
    </pivotField>
    <pivotField showAll="0">
      <items count="3">
        <item x="1"/>
        <item x="0"/>
        <item t="default"/>
      </items>
    </pivotField>
    <pivotField axis="axisRow" outline="0" showAll="0" defaultSubtotal="0">
      <items count="5">
        <item x="1"/>
        <item x="2"/>
        <item x="4"/>
        <item x="3"/>
        <item x="0"/>
      </items>
    </pivotField>
    <pivotField showAll="0"/>
    <pivotField numFmtId="164" showAll="0"/>
    <pivotField showAll="0"/>
    <pivotField showAll="0"/>
    <pivotField numFmtId="164" showAll="0"/>
    <pivotField numFmtId="164" showAll="0"/>
    <pivotField numFmtId="164" showAll="0"/>
    <pivotField numFmtId="164" showAll="0"/>
    <pivotField showAll="0"/>
    <pivotField showAll="0"/>
    <pivotField showAll="0"/>
    <pivotField showAll="0"/>
    <pivotField showAll="0"/>
    <pivotField showAll="0">
      <items count="5">
        <item x="2"/>
        <item x="1"/>
        <item x="3"/>
        <item x="0"/>
        <item t="default"/>
      </items>
    </pivotField>
    <pivotField showAll="0"/>
    <pivotField showAll="0"/>
    <pivotField showAll="0"/>
    <pivotField showAll="0"/>
    <pivotField showAll="0"/>
    <pivotField showAll="0"/>
    <pivotField showAll="0"/>
    <pivotField showAll="0"/>
    <pivotField name="State Name" axis="axisRow" outline="0" showAll="0" defaultSubtotal="0">
      <items count="21">
        <item x="2"/>
        <item x="1"/>
        <item x="10"/>
        <item x="13"/>
        <item x="19"/>
        <item x="3"/>
        <item x="7"/>
        <item x="12"/>
        <item x="6"/>
        <item x="16"/>
        <item x="17"/>
        <item x="9"/>
        <item x="8"/>
        <item x="0"/>
        <item x="15"/>
        <item x="5"/>
        <item x="4"/>
        <item x="11"/>
        <item x="20"/>
        <item x="14"/>
        <item x="18"/>
      </items>
    </pivotField>
    <pivotField showAll="0"/>
  </pivotFields>
  <rowFields count="4">
    <field x="1"/>
    <field x="31"/>
    <field x="2"/>
    <field x="8"/>
  </rowFields>
  <rowItems count="78">
    <i>
      <x v="2"/>
      <x v="13"/>
      <x v="1"/>
      <x v="4"/>
    </i>
    <i>
      <x v="3"/>
      <x v="1"/>
      <x v="6"/>
      <x v="4"/>
    </i>
    <i>
      <x v="4"/>
      <x/>
      <x v="6"/>
      <x/>
    </i>
    <i>
      <x v="5"/>
      <x v="5"/>
      <x v="2"/>
      <x v="4"/>
    </i>
    <i>
      <x v="6"/>
      <x v="16"/>
      <x v="5"/>
      <x/>
    </i>
    <i>
      <x v="7"/>
      <x v="15"/>
      <x v="3"/>
      <x v="1"/>
    </i>
    <i>
      <x v="8"/>
      <x v="8"/>
      <x v="7"/>
      <x v="1"/>
    </i>
    <i>
      <x v="9"/>
      <x v="6"/>
      <x v="7"/>
      <x v="1"/>
    </i>
    <i>
      <x v="10"/>
      <x v="13"/>
      <x v="1"/>
      <x v="3"/>
    </i>
    <i>
      <x v="11"/>
      <x v="12"/>
      <x v="3"/>
      <x v="3"/>
    </i>
    <i>
      <x v="12"/>
      <x v="6"/>
      <x v="1"/>
      <x v="1"/>
    </i>
    <i>
      <x v="13"/>
      <x v="13"/>
      <x v="7"/>
      <x v="1"/>
    </i>
    <i>
      <x v="14"/>
      <x v="11"/>
      <x v="7"/>
      <x v="1"/>
    </i>
    <i>
      <x v="15"/>
      <x v="2"/>
      <x v="4"/>
      <x v="4"/>
    </i>
    <i>
      <x v="16"/>
      <x v="17"/>
      <x v="5"/>
      <x v="4"/>
    </i>
    <i>
      <x v="17"/>
      <x v="5"/>
      <x v="1"/>
      <x/>
    </i>
    <i>
      <x v="18"/>
      <x v="8"/>
      <x v="1"/>
      <x v="3"/>
    </i>
    <i>
      <x v="19"/>
      <x v="13"/>
      <x v="1"/>
      <x v="2"/>
    </i>
    <i>
      <x v="20"/>
      <x v="7"/>
      <x v="3"/>
      <x v="2"/>
    </i>
    <i>
      <x v="21"/>
      <x v="6"/>
      <x v="6"/>
      <x/>
    </i>
    <i>
      <x v="22"/>
      <x v="3"/>
      <x v="3"/>
      <x v="4"/>
    </i>
    <i>
      <x v="23"/>
      <x v="17"/>
      <x v="7"/>
      <x/>
    </i>
    <i>
      <x v="24"/>
      <x v="19"/>
      <x/>
      <x/>
    </i>
    <i>
      <x v="25"/>
      <x v="16"/>
      <x v="4"/>
      <x/>
    </i>
    <i>
      <x v="26"/>
      <x v="12"/>
      <x v="6"/>
      <x v="1"/>
    </i>
    <i>
      <x v="27"/>
      <x v="7"/>
      <x v="5"/>
      <x/>
    </i>
    <i>
      <x v="28"/>
      <x v="13"/>
      <x v="2"/>
      <x v="3"/>
    </i>
    <i>
      <x v="29"/>
      <x v="1"/>
      <x v="4"/>
      <x v="4"/>
    </i>
    <i>
      <x v="30"/>
      <x v="12"/>
      <x v="3"/>
      <x/>
    </i>
    <i>
      <x v="31"/>
      <x v="5"/>
      <x/>
      <x v="3"/>
    </i>
    <i>
      <x v="32"/>
      <x v="11"/>
      <x v="6"/>
      <x v="4"/>
    </i>
    <i>
      <x v="33"/>
      <x v="17"/>
      <x v="1"/>
      <x/>
    </i>
    <i>
      <x v="34"/>
      <x v="3"/>
      <x v="2"/>
      <x/>
    </i>
    <i>
      <x v="35"/>
      <x v="14"/>
      <x v="1"/>
      <x v="4"/>
    </i>
    <i>
      <x v="36"/>
      <x v="1"/>
      <x v="1"/>
      <x v="4"/>
    </i>
    <i>
      <x v="37"/>
      <x v="17"/>
      <x v="7"/>
      <x v="2"/>
    </i>
    <i>
      <x v="38"/>
      <x v="13"/>
      <x v="5"/>
      <x/>
    </i>
    <i>
      <x v="39"/>
      <x v="13"/>
      <x v="6"/>
      <x/>
    </i>
    <i>
      <x v="40"/>
      <x v="1"/>
      <x v="7"/>
      <x v="4"/>
    </i>
    <i>
      <x v="41"/>
      <x v="17"/>
      <x v="5"/>
      <x v="2"/>
    </i>
    <i>
      <x v="42"/>
      <x v="9"/>
      <x v="4"/>
      <x/>
    </i>
    <i>
      <x v="43"/>
      <x v="10"/>
      <x v="5"/>
      <x/>
    </i>
    <i>
      <x v="44"/>
      <x v="19"/>
      <x v="7"/>
      <x v="1"/>
    </i>
    <i>
      <x v="45"/>
      <x v="20"/>
      <x v="2"/>
      <x v="1"/>
    </i>
    <i>
      <x v="46"/>
      <x v="3"/>
      <x v="3"/>
      <x v="1"/>
    </i>
    <i>
      <x v="47"/>
      <x v="17"/>
      <x/>
      <x/>
    </i>
    <i>
      <x v="48"/>
      <x v="19"/>
      <x v="5"/>
      <x v="2"/>
    </i>
    <i>
      <x v="49"/>
      <x v="14"/>
      <x v="1"/>
      <x/>
    </i>
    <i>
      <x v="50"/>
      <x v="9"/>
      <x v="7"/>
      <x v="4"/>
    </i>
    <i>
      <x v="51"/>
      <x v="1"/>
      <x/>
      <x v="4"/>
    </i>
    <i>
      <x v="52"/>
      <x v="16"/>
      <x v="6"/>
      <x v="4"/>
    </i>
    <i>
      <x v="53"/>
      <x v="6"/>
      <x v="4"/>
      <x v="4"/>
    </i>
    <i>
      <x v="54"/>
      <x v="17"/>
      <x v="3"/>
      <x v="4"/>
    </i>
    <i>
      <x v="55"/>
      <x v="9"/>
      <x v="5"/>
      <x v="3"/>
    </i>
    <i>
      <x v="56"/>
      <x v="14"/>
      <x v="4"/>
      <x/>
    </i>
    <i>
      <x v="57"/>
      <x v="17"/>
      <x/>
      <x v="4"/>
    </i>
    <i>
      <x v="58"/>
      <x v="6"/>
      <x v="6"/>
      <x/>
    </i>
    <i>
      <x v="59"/>
      <x v="3"/>
      <x v="7"/>
      <x v="1"/>
    </i>
    <i>
      <x v="60"/>
      <x v="14"/>
      <x v="1"/>
      <x v="2"/>
    </i>
    <i>
      <x v="61"/>
      <x v="17"/>
      <x v="3"/>
      <x/>
    </i>
    <i>
      <x v="62"/>
      <x v="3"/>
      <x v="4"/>
      <x/>
    </i>
    <i>
      <x v="63"/>
      <x v="10"/>
      <x v="1"/>
      <x v="3"/>
    </i>
    <i>
      <x v="64"/>
      <x v="13"/>
      <x v="1"/>
      <x v="4"/>
    </i>
    <i>
      <x v="65"/>
      <x v="17"/>
      <x v="6"/>
      <x/>
    </i>
    <i>
      <x v="66"/>
      <x v="19"/>
      <x v="7"/>
      <x v="4"/>
    </i>
    <i>
      <x v="67"/>
      <x v="15"/>
      <x/>
      <x v="4"/>
    </i>
    <i>
      <x v="68"/>
      <x v="7"/>
      <x v="7"/>
      <x v="4"/>
    </i>
    <i>
      <x v="69"/>
      <x v="1"/>
      <x v="4"/>
      <x v="3"/>
    </i>
    <i>
      <x v="70"/>
      <x v="12"/>
      <x v="4"/>
      <x v="3"/>
    </i>
    <i>
      <x v="71"/>
      <x v="17"/>
      <x v="3"/>
      <x v="1"/>
    </i>
    <i>
      <x v="72"/>
      <x v="15"/>
      <x v="4"/>
      <x v="3"/>
    </i>
    <i>
      <x v="73"/>
      <x v="5"/>
      <x v="5"/>
      <x v="4"/>
    </i>
    <i>
      <x v="74"/>
      <x v="4"/>
      <x v="1"/>
      <x v="1"/>
    </i>
    <i>
      <x v="75"/>
      <x v="1"/>
      <x v="2"/>
      <x v="4"/>
    </i>
    <i>
      <x v="76"/>
      <x v="17"/>
      <x v="1"/>
      <x v="4"/>
    </i>
    <i>
      <x v="77"/>
      <x v="18"/>
      <x v="6"/>
      <x v="3"/>
    </i>
    <i>
      <x v="78"/>
      <x v="1"/>
      <x v="7"/>
      <x v="3"/>
    </i>
    <i>
      <x v="79"/>
      <x v="13"/>
      <x v="4"/>
      <x/>
    </i>
  </rowItems>
  <colItems count="1">
    <i/>
  </colItems>
  <formats count="359">
    <format dxfId="368">
      <pivotArea dataOnly="0" labelOnly="1" fieldPosition="0">
        <references count="1">
          <reference field="1" count="43">
            <x v="3"/>
            <x v="5"/>
            <x v="9"/>
            <x v="10"/>
            <x v="12"/>
            <x v="14"/>
            <x v="18"/>
            <x v="19"/>
            <x v="20"/>
            <x v="22"/>
            <x v="24"/>
            <x v="25"/>
            <x v="27"/>
            <x v="29"/>
            <x v="30"/>
            <x v="31"/>
            <x v="32"/>
            <x v="36"/>
            <x v="40"/>
            <x v="43"/>
            <x v="44"/>
            <x v="45"/>
            <x v="46"/>
            <x v="47"/>
            <x v="48"/>
            <x v="49"/>
            <x v="51"/>
            <x v="52"/>
            <x v="54"/>
            <x v="55"/>
            <x v="57"/>
            <x v="59"/>
            <x v="61"/>
            <x v="64"/>
            <x v="65"/>
            <x v="67"/>
            <x v="69"/>
            <x v="71"/>
            <x v="73"/>
            <x v="75"/>
            <x v="77"/>
            <x v="78"/>
            <x v="79"/>
          </reference>
        </references>
      </pivotArea>
    </format>
    <format dxfId="367">
      <pivotArea dataOnly="0" labelOnly="1" fieldPosition="0">
        <references count="2">
          <reference field="1" count="1" selected="0">
            <x v="3"/>
          </reference>
          <reference field="31" count="1">
            <x v="1"/>
          </reference>
        </references>
      </pivotArea>
    </format>
    <format dxfId="366">
      <pivotArea dataOnly="0" labelOnly="1" fieldPosition="0">
        <references count="2">
          <reference field="1" count="1" selected="0">
            <x v="5"/>
          </reference>
          <reference field="31" count="1">
            <x v="5"/>
          </reference>
        </references>
      </pivotArea>
    </format>
    <format dxfId="365">
      <pivotArea dataOnly="0" labelOnly="1" fieldPosition="0">
        <references count="2">
          <reference field="1" count="1" selected="0">
            <x v="9"/>
          </reference>
          <reference field="31" count="1">
            <x v="6"/>
          </reference>
        </references>
      </pivotArea>
    </format>
    <format dxfId="364">
      <pivotArea dataOnly="0" labelOnly="1" fieldPosition="0">
        <references count="2">
          <reference field="1" count="1" selected="0">
            <x v="10"/>
          </reference>
          <reference field="31" count="1">
            <x v="13"/>
          </reference>
        </references>
      </pivotArea>
    </format>
    <format dxfId="363">
      <pivotArea dataOnly="0" labelOnly="1" fieldPosition="0">
        <references count="2">
          <reference field="1" count="1" selected="0">
            <x v="12"/>
          </reference>
          <reference field="31" count="1">
            <x v="6"/>
          </reference>
        </references>
      </pivotArea>
    </format>
    <format dxfId="362">
      <pivotArea dataOnly="0" labelOnly="1" fieldPosition="0">
        <references count="2">
          <reference field="1" count="1" selected="0">
            <x v="14"/>
          </reference>
          <reference field="31" count="1">
            <x v="11"/>
          </reference>
        </references>
      </pivotArea>
    </format>
    <format dxfId="361">
      <pivotArea dataOnly="0" labelOnly="1" fieldPosition="0">
        <references count="2">
          <reference field="1" count="1" selected="0">
            <x v="18"/>
          </reference>
          <reference field="31" count="1">
            <x v="8"/>
          </reference>
        </references>
      </pivotArea>
    </format>
    <format dxfId="360">
      <pivotArea dataOnly="0" labelOnly="1" fieldPosition="0">
        <references count="2">
          <reference field="1" count="1" selected="0">
            <x v="19"/>
          </reference>
          <reference field="31" count="1">
            <x v="13"/>
          </reference>
        </references>
      </pivotArea>
    </format>
    <format dxfId="359">
      <pivotArea dataOnly="0" labelOnly="1" fieldPosition="0">
        <references count="2">
          <reference field="1" count="1" selected="0">
            <x v="20"/>
          </reference>
          <reference field="31" count="1">
            <x v="7"/>
          </reference>
        </references>
      </pivotArea>
    </format>
    <format dxfId="358">
      <pivotArea dataOnly="0" labelOnly="1" fieldPosition="0">
        <references count="2">
          <reference field="1" count="1" selected="0">
            <x v="22"/>
          </reference>
          <reference field="31" count="1">
            <x v="3"/>
          </reference>
        </references>
      </pivotArea>
    </format>
    <format dxfId="357">
      <pivotArea dataOnly="0" labelOnly="1" fieldPosition="0">
        <references count="2">
          <reference field="1" count="1" selected="0">
            <x v="24"/>
          </reference>
          <reference field="31" count="1">
            <x v="19"/>
          </reference>
        </references>
      </pivotArea>
    </format>
    <format dxfId="356">
      <pivotArea dataOnly="0" labelOnly="1" fieldPosition="0">
        <references count="2">
          <reference field="1" count="1" selected="0">
            <x v="25"/>
          </reference>
          <reference field="31" count="1">
            <x v="16"/>
          </reference>
        </references>
      </pivotArea>
    </format>
    <format dxfId="355">
      <pivotArea dataOnly="0" labelOnly="1" fieldPosition="0">
        <references count="2">
          <reference field="1" count="1" selected="0">
            <x v="27"/>
          </reference>
          <reference field="31" count="1">
            <x v="7"/>
          </reference>
        </references>
      </pivotArea>
    </format>
    <format dxfId="354">
      <pivotArea dataOnly="0" labelOnly="1" fieldPosition="0">
        <references count="2">
          <reference field="1" count="1" selected="0">
            <x v="29"/>
          </reference>
          <reference field="31" count="1">
            <x v="1"/>
          </reference>
        </references>
      </pivotArea>
    </format>
    <format dxfId="353">
      <pivotArea dataOnly="0" labelOnly="1" fieldPosition="0">
        <references count="2">
          <reference field="1" count="1" selected="0">
            <x v="30"/>
          </reference>
          <reference field="31" count="1">
            <x v="12"/>
          </reference>
        </references>
      </pivotArea>
    </format>
    <format dxfId="352">
      <pivotArea dataOnly="0" labelOnly="1" fieldPosition="0">
        <references count="2">
          <reference field="1" count="1" selected="0">
            <x v="31"/>
          </reference>
          <reference field="31" count="1">
            <x v="5"/>
          </reference>
        </references>
      </pivotArea>
    </format>
    <format dxfId="351">
      <pivotArea dataOnly="0" labelOnly="1" fieldPosition="0">
        <references count="2">
          <reference field="1" count="1" selected="0">
            <x v="32"/>
          </reference>
          <reference field="31" count="1">
            <x v="11"/>
          </reference>
        </references>
      </pivotArea>
    </format>
    <format dxfId="350">
      <pivotArea dataOnly="0" labelOnly="1" fieldPosition="0">
        <references count="2">
          <reference field="1" count="1" selected="0">
            <x v="36"/>
          </reference>
          <reference field="31" count="1">
            <x v="1"/>
          </reference>
        </references>
      </pivotArea>
    </format>
    <format dxfId="349">
      <pivotArea dataOnly="0" labelOnly="1" fieldPosition="0">
        <references count="2">
          <reference field="1" count="1" selected="0">
            <x v="43"/>
          </reference>
          <reference field="31" count="1">
            <x v="10"/>
          </reference>
        </references>
      </pivotArea>
    </format>
    <format dxfId="348">
      <pivotArea dataOnly="0" labelOnly="1" fieldPosition="0">
        <references count="2">
          <reference field="1" count="1" selected="0">
            <x v="44"/>
          </reference>
          <reference field="31" count="1">
            <x v="19"/>
          </reference>
        </references>
      </pivotArea>
    </format>
    <format dxfId="347">
      <pivotArea dataOnly="0" labelOnly="1" fieldPosition="0">
        <references count="2">
          <reference field="1" count="1" selected="0">
            <x v="45"/>
          </reference>
          <reference field="31" count="1">
            <x v="20"/>
          </reference>
        </references>
      </pivotArea>
    </format>
    <format dxfId="346">
      <pivotArea dataOnly="0" labelOnly="1" fieldPosition="0">
        <references count="2">
          <reference field="1" count="1" selected="0">
            <x v="46"/>
          </reference>
          <reference field="31" count="1">
            <x v="3"/>
          </reference>
        </references>
      </pivotArea>
    </format>
    <format dxfId="345">
      <pivotArea dataOnly="0" labelOnly="1" fieldPosition="0">
        <references count="2">
          <reference field="1" count="1" selected="0">
            <x v="47"/>
          </reference>
          <reference field="31" count="1">
            <x v="17"/>
          </reference>
        </references>
      </pivotArea>
    </format>
    <format dxfId="344">
      <pivotArea dataOnly="0" labelOnly="1" fieldPosition="0">
        <references count="2">
          <reference field="1" count="1" selected="0">
            <x v="48"/>
          </reference>
          <reference field="31" count="1">
            <x v="19"/>
          </reference>
        </references>
      </pivotArea>
    </format>
    <format dxfId="343">
      <pivotArea dataOnly="0" labelOnly="1" fieldPosition="0">
        <references count="2">
          <reference field="1" count="1" selected="0">
            <x v="49"/>
          </reference>
          <reference field="31" count="1">
            <x v="14"/>
          </reference>
        </references>
      </pivotArea>
    </format>
    <format dxfId="342">
      <pivotArea dataOnly="0" labelOnly="1" fieldPosition="0">
        <references count="2">
          <reference field="1" count="1" selected="0">
            <x v="51"/>
          </reference>
          <reference field="31" count="1">
            <x v="1"/>
          </reference>
        </references>
      </pivotArea>
    </format>
    <format dxfId="341">
      <pivotArea dataOnly="0" labelOnly="1" fieldPosition="0">
        <references count="2">
          <reference field="1" count="1" selected="0">
            <x v="52"/>
          </reference>
          <reference field="31" count="1">
            <x v="16"/>
          </reference>
        </references>
      </pivotArea>
    </format>
    <format dxfId="340">
      <pivotArea dataOnly="0" labelOnly="1" fieldPosition="0">
        <references count="2">
          <reference field="1" count="1" selected="0">
            <x v="54"/>
          </reference>
          <reference field="31" count="1">
            <x v="17"/>
          </reference>
        </references>
      </pivotArea>
    </format>
    <format dxfId="339">
      <pivotArea dataOnly="0" labelOnly="1" fieldPosition="0">
        <references count="2">
          <reference field="1" count="1" selected="0">
            <x v="55"/>
          </reference>
          <reference field="31" count="1">
            <x v="9"/>
          </reference>
        </references>
      </pivotArea>
    </format>
    <format dxfId="338">
      <pivotArea dataOnly="0" labelOnly="1" fieldPosition="0">
        <references count="2">
          <reference field="1" count="1" selected="0">
            <x v="57"/>
          </reference>
          <reference field="31" count="1">
            <x v="17"/>
          </reference>
        </references>
      </pivotArea>
    </format>
    <format dxfId="337">
      <pivotArea dataOnly="0" labelOnly="1" fieldPosition="0">
        <references count="2">
          <reference field="1" count="1" selected="0">
            <x v="59"/>
          </reference>
          <reference field="31" count="1">
            <x v="3"/>
          </reference>
        </references>
      </pivotArea>
    </format>
    <format dxfId="336">
      <pivotArea dataOnly="0" labelOnly="1" fieldPosition="0">
        <references count="2">
          <reference field="1" count="1" selected="0">
            <x v="61"/>
          </reference>
          <reference field="31" count="1">
            <x v="17"/>
          </reference>
        </references>
      </pivotArea>
    </format>
    <format dxfId="335">
      <pivotArea dataOnly="0" labelOnly="1" fieldPosition="0">
        <references count="2">
          <reference field="1" count="1" selected="0">
            <x v="64"/>
          </reference>
          <reference field="31" count="1">
            <x v="13"/>
          </reference>
        </references>
      </pivotArea>
    </format>
    <format dxfId="334">
      <pivotArea dataOnly="0" labelOnly="1" fieldPosition="0">
        <references count="2">
          <reference field="1" count="1" selected="0">
            <x v="65"/>
          </reference>
          <reference field="31" count="1">
            <x v="17"/>
          </reference>
        </references>
      </pivotArea>
    </format>
    <format dxfId="333">
      <pivotArea dataOnly="0" labelOnly="1" fieldPosition="0">
        <references count="2">
          <reference field="1" count="1" selected="0">
            <x v="67"/>
          </reference>
          <reference field="31" count="1">
            <x v="15"/>
          </reference>
        </references>
      </pivotArea>
    </format>
    <format dxfId="332">
      <pivotArea dataOnly="0" labelOnly="1" fieldPosition="0">
        <references count="2">
          <reference field="1" count="1" selected="0">
            <x v="69"/>
          </reference>
          <reference field="31" count="1">
            <x v="1"/>
          </reference>
        </references>
      </pivotArea>
    </format>
    <format dxfId="331">
      <pivotArea dataOnly="0" labelOnly="1" fieldPosition="0">
        <references count="2">
          <reference field="1" count="1" selected="0">
            <x v="71"/>
          </reference>
          <reference field="31" count="1">
            <x v="17"/>
          </reference>
        </references>
      </pivotArea>
    </format>
    <format dxfId="330">
      <pivotArea dataOnly="0" labelOnly="1" fieldPosition="0">
        <references count="2">
          <reference field="1" count="1" selected="0">
            <x v="73"/>
          </reference>
          <reference field="31" count="1">
            <x v="5"/>
          </reference>
        </references>
      </pivotArea>
    </format>
    <format dxfId="329">
      <pivotArea dataOnly="0" labelOnly="1" fieldPosition="0">
        <references count="2">
          <reference field="1" count="1" selected="0">
            <x v="75"/>
          </reference>
          <reference field="31" count="1">
            <x v="1"/>
          </reference>
        </references>
      </pivotArea>
    </format>
    <format dxfId="328">
      <pivotArea dataOnly="0" labelOnly="1" fieldPosition="0">
        <references count="2">
          <reference field="1" count="1" selected="0">
            <x v="77"/>
          </reference>
          <reference field="31" count="1">
            <x v="18"/>
          </reference>
        </references>
      </pivotArea>
    </format>
    <format dxfId="327">
      <pivotArea dataOnly="0" labelOnly="1" fieldPosition="0">
        <references count="2">
          <reference field="1" count="1" selected="0">
            <x v="78"/>
          </reference>
          <reference field="31" count="1">
            <x v="1"/>
          </reference>
        </references>
      </pivotArea>
    </format>
    <format dxfId="326">
      <pivotArea dataOnly="0" labelOnly="1" fieldPosition="0">
        <references count="2">
          <reference field="1" count="1" selected="0">
            <x v="79"/>
          </reference>
          <reference field="31" count="1">
            <x v="13"/>
          </reference>
        </references>
      </pivotArea>
    </format>
    <format dxfId="325">
      <pivotArea dataOnly="0" labelOnly="1" fieldPosition="0">
        <references count="3">
          <reference field="1" count="1" selected="0">
            <x v="3"/>
          </reference>
          <reference field="2" count="1">
            <x v="6"/>
          </reference>
          <reference field="31" count="1" selected="0">
            <x v="1"/>
          </reference>
        </references>
      </pivotArea>
    </format>
    <format dxfId="324">
      <pivotArea dataOnly="0" labelOnly="1" fieldPosition="0">
        <references count="3">
          <reference field="1" count="1" selected="0">
            <x v="5"/>
          </reference>
          <reference field="2" count="1">
            <x v="2"/>
          </reference>
          <reference field="31" count="1" selected="0">
            <x v="5"/>
          </reference>
        </references>
      </pivotArea>
    </format>
    <format dxfId="323">
      <pivotArea dataOnly="0" labelOnly="1" fieldPosition="0">
        <references count="3">
          <reference field="1" count="1" selected="0">
            <x v="9"/>
          </reference>
          <reference field="2" count="1">
            <x v="7"/>
          </reference>
          <reference field="31" count="1" selected="0">
            <x v="6"/>
          </reference>
        </references>
      </pivotArea>
    </format>
    <format dxfId="322">
      <pivotArea dataOnly="0" labelOnly="1" fieldPosition="0">
        <references count="3">
          <reference field="1" count="1" selected="0">
            <x v="10"/>
          </reference>
          <reference field="2" count="1">
            <x v="1"/>
          </reference>
          <reference field="31" count="1" selected="0">
            <x v="13"/>
          </reference>
        </references>
      </pivotArea>
    </format>
    <format dxfId="321">
      <pivotArea dataOnly="0" labelOnly="1" fieldPosition="0">
        <references count="3">
          <reference field="1" count="1" selected="0">
            <x v="14"/>
          </reference>
          <reference field="2" count="1">
            <x v="7"/>
          </reference>
          <reference field="31" count="1" selected="0">
            <x v="11"/>
          </reference>
        </references>
      </pivotArea>
    </format>
    <format dxfId="320">
      <pivotArea dataOnly="0" labelOnly="1" fieldPosition="0">
        <references count="3">
          <reference field="1" count="1" selected="0">
            <x v="18"/>
          </reference>
          <reference field="2" count="1">
            <x v="1"/>
          </reference>
          <reference field="31" count="1" selected="0">
            <x v="8"/>
          </reference>
        </references>
      </pivotArea>
    </format>
    <format dxfId="319">
      <pivotArea dataOnly="0" labelOnly="1" fieldPosition="0">
        <references count="3">
          <reference field="1" count="1" selected="0">
            <x v="20"/>
          </reference>
          <reference field="2" count="1">
            <x v="3"/>
          </reference>
          <reference field="31" count="1" selected="0">
            <x v="7"/>
          </reference>
        </references>
      </pivotArea>
    </format>
    <format dxfId="318">
      <pivotArea dataOnly="0" labelOnly="1" fieldPosition="0">
        <references count="3">
          <reference field="1" count="1" selected="0">
            <x v="24"/>
          </reference>
          <reference field="2" count="1">
            <x v="0"/>
          </reference>
          <reference field="31" count="1" selected="0">
            <x v="19"/>
          </reference>
        </references>
      </pivotArea>
    </format>
    <format dxfId="317">
      <pivotArea dataOnly="0" labelOnly="1" fieldPosition="0">
        <references count="3">
          <reference field="1" count="1" selected="0">
            <x v="25"/>
          </reference>
          <reference field="2" count="1">
            <x v="4"/>
          </reference>
          <reference field="31" count="1" selected="0">
            <x v="16"/>
          </reference>
        </references>
      </pivotArea>
    </format>
    <format dxfId="316">
      <pivotArea dataOnly="0" labelOnly="1" fieldPosition="0">
        <references count="3">
          <reference field="1" count="1" selected="0">
            <x v="27"/>
          </reference>
          <reference field="2" count="1">
            <x v="5"/>
          </reference>
          <reference field="31" count="1" selected="0">
            <x v="7"/>
          </reference>
        </references>
      </pivotArea>
    </format>
    <format dxfId="315">
      <pivotArea dataOnly="0" labelOnly="1" fieldPosition="0">
        <references count="3">
          <reference field="1" count="1" selected="0">
            <x v="29"/>
          </reference>
          <reference field="2" count="1">
            <x v="4"/>
          </reference>
          <reference field="31" count="1" selected="0">
            <x v="1"/>
          </reference>
        </references>
      </pivotArea>
    </format>
    <format dxfId="314">
      <pivotArea dataOnly="0" labelOnly="1" fieldPosition="0">
        <references count="3">
          <reference field="1" count="1" selected="0">
            <x v="30"/>
          </reference>
          <reference field="2" count="1">
            <x v="3"/>
          </reference>
          <reference field="31" count="1" selected="0">
            <x v="12"/>
          </reference>
        </references>
      </pivotArea>
    </format>
    <format dxfId="313">
      <pivotArea dataOnly="0" labelOnly="1" fieldPosition="0">
        <references count="3">
          <reference field="1" count="1" selected="0">
            <x v="31"/>
          </reference>
          <reference field="2" count="1">
            <x v="0"/>
          </reference>
          <reference field="31" count="1" selected="0">
            <x v="5"/>
          </reference>
        </references>
      </pivotArea>
    </format>
    <format dxfId="312">
      <pivotArea dataOnly="0" labelOnly="1" fieldPosition="0">
        <references count="3">
          <reference field="1" count="1" selected="0">
            <x v="32"/>
          </reference>
          <reference field="2" count="1">
            <x v="6"/>
          </reference>
          <reference field="31" count="1" selected="0">
            <x v="11"/>
          </reference>
        </references>
      </pivotArea>
    </format>
    <format dxfId="311">
      <pivotArea dataOnly="0" labelOnly="1" fieldPosition="0">
        <references count="3">
          <reference field="1" count="1" selected="0">
            <x v="36"/>
          </reference>
          <reference field="2" count="1">
            <x v="1"/>
          </reference>
          <reference field="31" count="1" selected="0">
            <x v="1"/>
          </reference>
        </references>
      </pivotArea>
    </format>
    <format dxfId="310">
      <pivotArea dataOnly="0" labelOnly="1" fieldPosition="0">
        <references count="3">
          <reference field="1" count="1" selected="0">
            <x v="40"/>
          </reference>
          <reference field="2" count="1">
            <x v="7"/>
          </reference>
          <reference field="31" count="1" selected="0">
            <x v="1"/>
          </reference>
        </references>
      </pivotArea>
    </format>
    <format dxfId="309">
      <pivotArea dataOnly="0" labelOnly="1" fieldPosition="0">
        <references count="3">
          <reference field="1" count="1" selected="0">
            <x v="43"/>
          </reference>
          <reference field="2" count="1">
            <x v="5"/>
          </reference>
          <reference field="31" count="1" selected="0">
            <x v="10"/>
          </reference>
        </references>
      </pivotArea>
    </format>
    <format dxfId="308">
      <pivotArea dataOnly="0" labelOnly="1" fieldPosition="0">
        <references count="3">
          <reference field="1" count="1" selected="0">
            <x v="44"/>
          </reference>
          <reference field="2" count="1">
            <x v="7"/>
          </reference>
          <reference field="31" count="1" selected="0">
            <x v="19"/>
          </reference>
        </references>
      </pivotArea>
    </format>
    <format dxfId="307">
      <pivotArea dataOnly="0" labelOnly="1" fieldPosition="0">
        <references count="3">
          <reference field="1" count="1" selected="0">
            <x v="45"/>
          </reference>
          <reference field="2" count="1">
            <x v="2"/>
          </reference>
          <reference field="31" count="1" selected="0">
            <x v="20"/>
          </reference>
        </references>
      </pivotArea>
    </format>
    <format dxfId="306">
      <pivotArea dataOnly="0" labelOnly="1" fieldPosition="0">
        <references count="3">
          <reference field="1" count="1" selected="0">
            <x v="46"/>
          </reference>
          <reference field="2" count="1">
            <x v="3"/>
          </reference>
          <reference field="31" count="1" selected="0">
            <x v="3"/>
          </reference>
        </references>
      </pivotArea>
    </format>
    <format dxfId="305">
      <pivotArea dataOnly="0" labelOnly="1" fieldPosition="0">
        <references count="3">
          <reference field="1" count="1" selected="0">
            <x v="47"/>
          </reference>
          <reference field="2" count="1">
            <x v="0"/>
          </reference>
          <reference field="31" count="1" selected="0">
            <x v="17"/>
          </reference>
        </references>
      </pivotArea>
    </format>
    <format dxfId="304">
      <pivotArea dataOnly="0" labelOnly="1" fieldPosition="0">
        <references count="3">
          <reference field="1" count="1" selected="0">
            <x v="48"/>
          </reference>
          <reference field="2" count="1">
            <x v="5"/>
          </reference>
          <reference field="31" count="1" selected="0">
            <x v="19"/>
          </reference>
        </references>
      </pivotArea>
    </format>
    <format dxfId="303">
      <pivotArea dataOnly="0" labelOnly="1" fieldPosition="0">
        <references count="3">
          <reference field="1" count="1" selected="0">
            <x v="49"/>
          </reference>
          <reference field="2" count="1">
            <x v="1"/>
          </reference>
          <reference field="31" count="1" selected="0">
            <x v="14"/>
          </reference>
        </references>
      </pivotArea>
    </format>
    <format dxfId="302">
      <pivotArea dataOnly="0" labelOnly="1" fieldPosition="0">
        <references count="3">
          <reference field="1" count="1" selected="0">
            <x v="51"/>
          </reference>
          <reference field="2" count="1">
            <x v="0"/>
          </reference>
          <reference field="31" count="1" selected="0">
            <x v="1"/>
          </reference>
        </references>
      </pivotArea>
    </format>
    <format dxfId="301">
      <pivotArea dataOnly="0" labelOnly="1" fieldPosition="0">
        <references count="3">
          <reference field="1" count="1" selected="0">
            <x v="52"/>
          </reference>
          <reference field="2" count="1">
            <x v="6"/>
          </reference>
          <reference field="31" count="1" selected="0">
            <x v="16"/>
          </reference>
        </references>
      </pivotArea>
    </format>
    <format dxfId="300">
      <pivotArea dataOnly="0" labelOnly="1" fieldPosition="0">
        <references count="3">
          <reference field="1" count="1" selected="0">
            <x v="54"/>
          </reference>
          <reference field="2" count="1">
            <x v="3"/>
          </reference>
          <reference field="31" count="1" selected="0">
            <x v="17"/>
          </reference>
        </references>
      </pivotArea>
    </format>
    <format dxfId="299">
      <pivotArea dataOnly="0" labelOnly="1" fieldPosition="0">
        <references count="3">
          <reference field="1" count="1" selected="0">
            <x v="55"/>
          </reference>
          <reference field="2" count="1">
            <x v="5"/>
          </reference>
          <reference field="31" count="1" selected="0">
            <x v="9"/>
          </reference>
        </references>
      </pivotArea>
    </format>
    <format dxfId="298">
      <pivotArea dataOnly="0" labelOnly="1" fieldPosition="0">
        <references count="3">
          <reference field="1" count="1" selected="0">
            <x v="57"/>
          </reference>
          <reference field="2" count="1">
            <x v="0"/>
          </reference>
          <reference field="31" count="1" selected="0">
            <x v="17"/>
          </reference>
        </references>
      </pivotArea>
    </format>
    <format dxfId="297">
      <pivotArea dataOnly="0" labelOnly="1" fieldPosition="0">
        <references count="3">
          <reference field="1" count="1" selected="0">
            <x v="59"/>
          </reference>
          <reference field="2" count="1">
            <x v="7"/>
          </reference>
          <reference field="31" count="1" selected="0">
            <x v="3"/>
          </reference>
        </references>
      </pivotArea>
    </format>
    <format dxfId="296">
      <pivotArea dataOnly="0" labelOnly="1" fieldPosition="0">
        <references count="3">
          <reference field="1" count="1" selected="0">
            <x v="61"/>
          </reference>
          <reference field="2" count="1">
            <x v="3"/>
          </reference>
          <reference field="31" count="1" selected="0">
            <x v="17"/>
          </reference>
        </references>
      </pivotArea>
    </format>
    <format dxfId="295">
      <pivotArea dataOnly="0" labelOnly="1" fieldPosition="0">
        <references count="3">
          <reference field="1" count="1" selected="0">
            <x v="64"/>
          </reference>
          <reference field="2" count="1">
            <x v="1"/>
          </reference>
          <reference field="31" count="1" selected="0">
            <x v="13"/>
          </reference>
        </references>
      </pivotArea>
    </format>
    <format dxfId="294">
      <pivotArea dataOnly="0" labelOnly="1" fieldPosition="0">
        <references count="3">
          <reference field="1" count="1" selected="0">
            <x v="65"/>
          </reference>
          <reference field="2" count="1">
            <x v="6"/>
          </reference>
          <reference field="31" count="1" selected="0">
            <x v="17"/>
          </reference>
        </references>
      </pivotArea>
    </format>
    <format dxfId="293">
      <pivotArea dataOnly="0" labelOnly="1" fieldPosition="0">
        <references count="3">
          <reference field="1" count="1" selected="0">
            <x v="67"/>
          </reference>
          <reference field="2" count="1">
            <x v="0"/>
          </reference>
          <reference field="31" count="1" selected="0">
            <x v="15"/>
          </reference>
        </references>
      </pivotArea>
    </format>
    <format dxfId="292">
      <pivotArea dataOnly="0" labelOnly="1" fieldPosition="0">
        <references count="3">
          <reference field="1" count="1" selected="0">
            <x v="69"/>
          </reference>
          <reference field="2" count="1">
            <x v="4"/>
          </reference>
          <reference field="31" count="1" selected="0">
            <x v="1"/>
          </reference>
        </references>
      </pivotArea>
    </format>
    <format dxfId="291">
      <pivotArea dataOnly="0" labelOnly="1" fieldPosition="0">
        <references count="3">
          <reference field="1" count="1" selected="0">
            <x v="71"/>
          </reference>
          <reference field="2" count="1">
            <x v="3"/>
          </reference>
          <reference field="31" count="1" selected="0">
            <x v="17"/>
          </reference>
        </references>
      </pivotArea>
    </format>
    <format dxfId="290">
      <pivotArea dataOnly="0" labelOnly="1" fieldPosition="0">
        <references count="3">
          <reference field="1" count="1" selected="0">
            <x v="73"/>
          </reference>
          <reference field="2" count="1">
            <x v="5"/>
          </reference>
          <reference field="31" count="1" selected="0">
            <x v="5"/>
          </reference>
        </references>
      </pivotArea>
    </format>
    <format dxfId="289">
      <pivotArea dataOnly="0" labelOnly="1" fieldPosition="0">
        <references count="3">
          <reference field="1" count="1" selected="0">
            <x v="75"/>
          </reference>
          <reference field="2" count="1">
            <x v="2"/>
          </reference>
          <reference field="31" count="1" selected="0">
            <x v="1"/>
          </reference>
        </references>
      </pivotArea>
    </format>
    <format dxfId="288">
      <pivotArea dataOnly="0" labelOnly="1" fieldPosition="0">
        <references count="3">
          <reference field="1" count="1" selected="0">
            <x v="77"/>
          </reference>
          <reference field="2" count="1">
            <x v="6"/>
          </reference>
          <reference field="31" count="1" selected="0">
            <x v="18"/>
          </reference>
        </references>
      </pivotArea>
    </format>
    <format dxfId="287">
      <pivotArea dataOnly="0" labelOnly="1" fieldPosition="0">
        <references count="3">
          <reference field="1" count="1" selected="0">
            <x v="78"/>
          </reference>
          <reference field="2" count="1">
            <x v="7"/>
          </reference>
          <reference field="31" count="1" selected="0">
            <x v="1"/>
          </reference>
        </references>
      </pivotArea>
    </format>
    <format dxfId="286">
      <pivotArea dataOnly="0" labelOnly="1" fieldPosition="0">
        <references count="3">
          <reference field="1" count="1" selected="0">
            <x v="79"/>
          </reference>
          <reference field="2" count="1">
            <x v="4"/>
          </reference>
          <reference field="31" count="1" selected="0">
            <x v="13"/>
          </reference>
        </references>
      </pivotArea>
    </format>
    <format dxfId="285">
      <pivotArea dataOnly="0" labelOnly="1" fieldPosition="0">
        <references count="4">
          <reference field="1" count="1" selected="0">
            <x v="3"/>
          </reference>
          <reference field="2" count="1" selected="0">
            <x v="6"/>
          </reference>
          <reference field="8" count="1">
            <x v="4"/>
          </reference>
          <reference field="31" count="1" selected="0">
            <x v="1"/>
          </reference>
        </references>
      </pivotArea>
    </format>
    <format dxfId="284">
      <pivotArea dataOnly="0" labelOnly="1" fieldPosition="0">
        <references count="4">
          <reference field="1" count="1" selected="0">
            <x v="5"/>
          </reference>
          <reference field="2" count="1" selected="0">
            <x v="2"/>
          </reference>
          <reference field="8" count="1">
            <x v="4"/>
          </reference>
          <reference field="31" count="1" selected="0">
            <x v="5"/>
          </reference>
        </references>
      </pivotArea>
    </format>
    <format dxfId="283">
      <pivotArea dataOnly="0" labelOnly="1" fieldPosition="0">
        <references count="4">
          <reference field="1" count="1" selected="0">
            <x v="9"/>
          </reference>
          <reference field="2" count="1" selected="0">
            <x v="7"/>
          </reference>
          <reference field="8" count="1">
            <x v="1"/>
          </reference>
          <reference field="31" count="1" selected="0">
            <x v="6"/>
          </reference>
        </references>
      </pivotArea>
    </format>
    <format dxfId="282">
      <pivotArea dataOnly="0" labelOnly="1" fieldPosition="0">
        <references count="4">
          <reference field="1" count="1" selected="0">
            <x v="10"/>
          </reference>
          <reference field="2" count="1" selected="0">
            <x v="1"/>
          </reference>
          <reference field="8" count="1">
            <x v="3"/>
          </reference>
          <reference field="31" count="1" selected="0">
            <x v="13"/>
          </reference>
        </references>
      </pivotArea>
    </format>
    <format dxfId="281">
      <pivotArea dataOnly="0" labelOnly="1" fieldPosition="0">
        <references count="4">
          <reference field="1" count="1" selected="0">
            <x v="12"/>
          </reference>
          <reference field="2" count="1" selected="0">
            <x v="1"/>
          </reference>
          <reference field="8" count="1">
            <x v="1"/>
          </reference>
          <reference field="31" count="1" selected="0">
            <x v="6"/>
          </reference>
        </references>
      </pivotArea>
    </format>
    <format dxfId="280">
      <pivotArea dataOnly="0" labelOnly="1" fieldPosition="0">
        <references count="4">
          <reference field="1" count="1" selected="0">
            <x v="14"/>
          </reference>
          <reference field="2" count="1" selected="0">
            <x v="7"/>
          </reference>
          <reference field="8" count="1">
            <x v="1"/>
          </reference>
          <reference field="31" count="1" selected="0">
            <x v="11"/>
          </reference>
        </references>
      </pivotArea>
    </format>
    <format dxfId="279">
      <pivotArea dataOnly="0" labelOnly="1" fieldPosition="0">
        <references count="4">
          <reference field="1" count="1" selected="0">
            <x v="18"/>
          </reference>
          <reference field="2" count="1" selected="0">
            <x v="1"/>
          </reference>
          <reference field="8" count="1">
            <x v="3"/>
          </reference>
          <reference field="31" count="1" selected="0">
            <x v="8"/>
          </reference>
        </references>
      </pivotArea>
    </format>
    <format dxfId="278">
      <pivotArea dataOnly="0" labelOnly="1" fieldPosition="0">
        <references count="4">
          <reference field="1" count="1" selected="0">
            <x v="19"/>
          </reference>
          <reference field="2" count="1" selected="0">
            <x v="1"/>
          </reference>
          <reference field="8" count="1">
            <x v="2"/>
          </reference>
          <reference field="31" count="1" selected="0">
            <x v="13"/>
          </reference>
        </references>
      </pivotArea>
    </format>
    <format dxfId="277">
      <pivotArea dataOnly="0" labelOnly="1" fieldPosition="0">
        <references count="4">
          <reference field="1" count="1" selected="0">
            <x v="20"/>
          </reference>
          <reference field="2" count="1" selected="0">
            <x v="3"/>
          </reference>
          <reference field="8" count="1">
            <x v="2"/>
          </reference>
          <reference field="31" count="1" selected="0">
            <x v="7"/>
          </reference>
        </references>
      </pivotArea>
    </format>
    <format dxfId="276">
      <pivotArea dataOnly="0" labelOnly="1" fieldPosition="0">
        <references count="4">
          <reference field="1" count="1" selected="0">
            <x v="22"/>
          </reference>
          <reference field="2" count="1" selected="0">
            <x v="3"/>
          </reference>
          <reference field="8" count="1">
            <x v="4"/>
          </reference>
          <reference field="31" count="1" selected="0">
            <x v="3"/>
          </reference>
        </references>
      </pivotArea>
    </format>
    <format dxfId="275">
      <pivotArea dataOnly="0" labelOnly="1" fieldPosition="0">
        <references count="4">
          <reference field="1" count="1" selected="0">
            <x v="24"/>
          </reference>
          <reference field="2" count="1" selected="0">
            <x v="0"/>
          </reference>
          <reference field="8" count="1">
            <x v="0"/>
          </reference>
          <reference field="31" count="1" selected="0">
            <x v="19"/>
          </reference>
        </references>
      </pivotArea>
    </format>
    <format dxfId="274">
      <pivotArea dataOnly="0" labelOnly="1" fieldPosition="0">
        <references count="4">
          <reference field="1" count="1" selected="0">
            <x v="25"/>
          </reference>
          <reference field="2" count="1" selected="0">
            <x v="4"/>
          </reference>
          <reference field="8" count="1">
            <x v="0"/>
          </reference>
          <reference field="31" count="1" selected="0">
            <x v="16"/>
          </reference>
        </references>
      </pivotArea>
    </format>
    <format dxfId="273">
      <pivotArea dataOnly="0" labelOnly="1" fieldPosition="0">
        <references count="4">
          <reference field="1" count="1" selected="0">
            <x v="27"/>
          </reference>
          <reference field="2" count="1" selected="0">
            <x v="5"/>
          </reference>
          <reference field="8" count="1">
            <x v="0"/>
          </reference>
          <reference field="31" count="1" selected="0">
            <x v="7"/>
          </reference>
        </references>
      </pivotArea>
    </format>
    <format dxfId="272">
      <pivotArea dataOnly="0" labelOnly="1" fieldPosition="0">
        <references count="4">
          <reference field="1" count="1" selected="0">
            <x v="29"/>
          </reference>
          <reference field="2" count="1" selected="0">
            <x v="4"/>
          </reference>
          <reference field="8" count="1">
            <x v="4"/>
          </reference>
          <reference field="31" count="1" selected="0">
            <x v="1"/>
          </reference>
        </references>
      </pivotArea>
    </format>
    <format dxfId="271">
      <pivotArea dataOnly="0" labelOnly="1" fieldPosition="0">
        <references count="4">
          <reference field="1" count="1" selected="0">
            <x v="30"/>
          </reference>
          <reference field="2" count="1" selected="0">
            <x v="3"/>
          </reference>
          <reference field="8" count="1">
            <x v="0"/>
          </reference>
          <reference field="31" count="1" selected="0">
            <x v="12"/>
          </reference>
        </references>
      </pivotArea>
    </format>
    <format dxfId="270">
      <pivotArea dataOnly="0" labelOnly="1" fieldPosition="0">
        <references count="4">
          <reference field="1" count="1" selected="0">
            <x v="31"/>
          </reference>
          <reference field="2" count="1" selected="0">
            <x v="0"/>
          </reference>
          <reference field="8" count="1">
            <x v="3"/>
          </reference>
          <reference field="31" count="1" selected="0">
            <x v="5"/>
          </reference>
        </references>
      </pivotArea>
    </format>
    <format dxfId="269">
      <pivotArea dataOnly="0" labelOnly="1" fieldPosition="0">
        <references count="4">
          <reference field="1" count="1" selected="0">
            <x v="32"/>
          </reference>
          <reference field="2" count="1" selected="0">
            <x v="6"/>
          </reference>
          <reference field="8" count="1">
            <x v="4"/>
          </reference>
          <reference field="31" count="1" selected="0">
            <x v="11"/>
          </reference>
        </references>
      </pivotArea>
    </format>
    <format dxfId="268">
      <pivotArea dataOnly="0" labelOnly="1" fieldPosition="0">
        <references count="4">
          <reference field="1" count="1" selected="0">
            <x v="36"/>
          </reference>
          <reference field="2" count="1" selected="0">
            <x v="1"/>
          </reference>
          <reference field="8" count="1">
            <x v="4"/>
          </reference>
          <reference field="31" count="1" selected="0">
            <x v="1"/>
          </reference>
        </references>
      </pivotArea>
    </format>
    <format dxfId="267">
      <pivotArea dataOnly="0" labelOnly="1" fieldPosition="0">
        <references count="4">
          <reference field="1" count="1" selected="0">
            <x v="40"/>
          </reference>
          <reference field="2" count="1" selected="0">
            <x v="7"/>
          </reference>
          <reference field="8" count="1">
            <x v="4"/>
          </reference>
          <reference field="31" count="1" selected="0">
            <x v="1"/>
          </reference>
        </references>
      </pivotArea>
    </format>
    <format dxfId="266">
      <pivotArea dataOnly="0" labelOnly="1" fieldPosition="0">
        <references count="4">
          <reference field="1" count="1" selected="0">
            <x v="43"/>
          </reference>
          <reference field="2" count="1" selected="0">
            <x v="5"/>
          </reference>
          <reference field="8" count="1">
            <x v="0"/>
          </reference>
          <reference field="31" count="1" selected="0">
            <x v="10"/>
          </reference>
        </references>
      </pivotArea>
    </format>
    <format dxfId="265">
      <pivotArea dataOnly="0" labelOnly="1" fieldPosition="0">
        <references count="4">
          <reference field="1" count="1" selected="0">
            <x v="44"/>
          </reference>
          <reference field="2" count="1" selected="0">
            <x v="7"/>
          </reference>
          <reference field="8" count="1">
            <x v="1"/>
          </reference>
          <reference field="31" count="1" selected="0">
            <x v="19"/>
          </reference>
        </references>
      </pivotArea>
    </format>
    <format dxfId="264">
      <pivotArea dataOnly="0" labelOnly="1" fieldPosition="0">
        <references count="4">
          <reference field="1" count="1" selected="0">
            <x v="45"/>
          </reference>
          <reference field="2" count="1" selected="0">
            <x v="2"/>
          </reference>
          <reference field="8" count="1">
            <x v="1"/>
          </reference>
          <reference field="31" count="1" selected="0">
            <x v="20"/>
          </reference>
        </references>
      </pivotArea>
    </format>
    <format dxfId="263">
      <pivotArea dataOnly="0" labelOnly="1" fieldPosition="0">
        <references count="4">
          <reference field="1" count="1" selected="0">
            <x v="46"/>
          </reference>
          <reference field="2" count="1" selected="0">
            <x v="3"/>
          </reference>
          <reference field="8" count="1">
            <x v="1"/>
          </reference>
          <reference field="31" count="1" selected="0">
            <x v="3"/>
          </reference>
        </references>
      </pivotArea>
    </format>
    <format dxfId="262">
      <pivotArea dataOnly="0" labelOnly="1" fieldPosition="0">
        <references count="4">
          <reference field="1" count="1" selected="0">
            <x v="47"/>
          </reference>
          <reference field="2" count="1" selected="0">
            <x v="0"/>
          </reference>
          <reference field="8" count="1">
            <x v="0"/>
          </reference>
          <reference field="31" count="1" selected="0">
            <x v="17"/>
          </reference>
        </references>
      </pivotArea>
    </format>
    <format dxfId="261">
      <pivotArea dataOnly="0" labelOnly="1" fieldPosition="0">
        <references count="4">
          <reference field="1" count="1" selected="0">
            <x v="48"/>
          </reference>
          <reference field="2" count="1" selected="0">
            <x v="5"/>
          </reference>
          <reference field="8" count="1">
            <x v="2"/>
          </reference>
          <reference field="31" count="1" selected="0">
            <x v="19"/>
          </reference>
        </references>
      </pivotArea>
    </format>
    <format dxfId="260">
      <pivotArea dataOnly="0" labelOnly="1" fieldPosition="0">
        <references count="4">
          <reference field="1" count="1" selected="0">
            <x v="49"/>
          </reference>
          <reference field="2" count="1" selected="0">
            <x v="1"/>
          </reference>
          <reference field="8" count="1">
            <x v="0"/>
          </reference>
          <reference field="31" count="1" selected="0">
            <x v="14"/>
          </reference>
        </references>
      </pivotArea>
    </format>
    <format dxfId="259">
      <pivotArea dataOnly="0" labelOnly="1" fieldPosition="0">
        <references count="4">
          <reference field="1" count="1" selected="0">
            <x v="51"/>
          </reference>
          <reference field="2" count="1" selected="0">
            <x v="0"/>
          </reference>
          <reference field="8" count="1">
            <x v="4"/>
          </reference>
          <reference field="31" count="1" selected="0">
            <x v="1"/>
          </reference>
        </references>
      </pivotArea>
    </format>
    <format dxfId="258">
      <pivotArea dataOnly="0" labelOnly="1" fieldPosition="0">
        <references count="4">
          <reference field="1" count="1" selected="0">
            <x v="52"/>
          </reference>
          <reference field="2" count="1" selected="0">
            <x v="6"/>
          </reference>
          <reference field="8" count="1">
            <x v="4"/>
          </reference>
          <reference field="31" count="1" selected="0">
            <x v="16"/>
          </reference>
        </references>
      </pivotArea>
    </format>
    <format dxfId="257">
      <pivotArea dataOnly="0" labelOnly="1" fieldPosition="0">
        <references count="4">
          <reference field="1" count="1" selected="0">
            <x v="54"/>
          </reference>
          <reference field="2" count="1" selected="0">
            <x v="3"/>
          </reference>
          <reference field="8" count="1">
            <x v="4"/>
          </reference>
          <reference field="31" count="1" selected="0">
            <x v="17"/>
          </reference>
        </references>
      </pivotArea>
    </format>
    <format dxfId="256">
      <pivotArea dataOnly="0" labelOnly="1" fieldPosition="0">
        <references count="4">
          <reference field="1" count="1" selected="0">
            <x v="55"/>
          </reference>
          <reference field="2" count="1" selected="0">
            <x v="5"/>
          </reference>
          <reference field="8" count="1">
            <x v="3"/>
          </reference>
          <reference field="31" count="1" selected="0">
            <x v="9"/>
          </reference>
        </references>
      </pivotArea>
    </format>
    <format dxfId="255">
      <pivotArea dataOnly="0" labelOnly="1" fieldPosition="0">
        <references count="4">
          <reference field="1" count="1" selected="0">
            <x v="57"/>
          </reference>
          <reference field="2" count="1" selected="0">
            <x v="0"/>
          </reference>
          <reference field="8" count="1">
            <x v="4"/>
          </reference>
          <reference field="31" count="1" selected="0">
            <x v="17"/>
          </reference>
        </references>
      </pivotArea>
    </format>
    <format dxfId="254">
      <pivotArea dataOnly="0" labelOnly="1" fieldPosition="0">
        <references count="4">
          <reference field="1" count="1" selected="0">
            <x v="59"/>
          </reference>
          <reference field="2" count="1" selected="0">
            <x v="7"/>
          </reference>
          <reference field="8" count="1">
            <x v="1"/>
          </reference>
          <reference field="31" count="1" selected="0">
            <x v="3"/>
          </reference>
        </references>
      </pivotArea>
    </format>
    <format dxfId="253">
      <pivotArea dataOnly="0" labelOnly="1" fieldPosition="0">
        <references count="4">
          <reference field="1" count="1" selected="0">
            <x v="61"/>
          </reference>
          <reference field="2" count="1" selected="0">
            <x v="3"/>
          </reference>
          <reference field="8" count="1">
            <x v="0"/>
          </reference>
          <reference field="31" count="1" selected="0">
            <x v="17"/>
          </reference>
        </references>
      </pivotArea>
    </format>
    <format dxfId="252">
      <pivotArea dataOnly="0" labelOnly="1" fieldPosition="0">
        <references count="4">
          <reference field="1" count="1" selected="0">
            <x v="64"/>
          </reference>
          <reference field="2" count="1" selected="0">
            <x v="1"/>
          </reference>
          <reference field="8" count="1">
            <x v="4"/>
          </reference>
          <reference field="31" count="1" selected="0">
            <x v="13"/>
          </reference>
        </references>
      </pivotArea>
    </format>
    <format dxfId="251">
      <pivotArea dataOnly="0" labelOnly="1" fieldPosition="0">
        <references count="4">
          <reference field="1" count="1" selected="0">
            <x v="65"/>
          </reference>
          <reference field="2" count="1" selected="0">
            <x v="6"/>
          </reference>
          <reference field="8" count="1">
            <x v="0"/>
          </reference>
          <reference field="31" count="1" selected="0">
            <x v="17"/>
          </reference>
        </references>
      </pivotArea>
    </format>
    <format dxfId="250">
      <pivotArea dataOnly="0" labelOnly="1" fieldPosition="0">
        <references count="4">
          <reference field="1" count="1" selected="0">
            <x v="67"/>
          </reference>
          <reference field="2" count="1" selected="0">
            <x v="0"/>
          </reference>
          <reference field="8" count="1">
            <x v="4"/>
          </reference>
          <reference field="31" count="1" selected="0">
            <x v="15"/>
          </reference>
        </references>
      </pivotArea>
    </format>
    <format dxfId="249">
      <pivotArea dataOnly="0" labelOnly="1" fieldPosition="0">
        <references count="4">
          <reference field="1" count="1" selected="0">
            <x v="69"/>
          </reference>
          <reference field="2" count="1" selected="0">
            <x v="4"/>
          </reference>
          <reference field="8" count="1">
            <x v="3"/>
          </reference>
          <reference field="31" count="1" selected="0">
            <x v="1"/>
          </reference>
        </references>
      </pivotArea>
    </format>
    <format dxfId="248">
      <pivotArea dataOnly="0" labelOnly="1" fieldPosition="0">
        <references count="4">
          <reference field="1" count="1" selected="0">
            <x v="71"/>
          </reference>
          <reference field="2" count="1" selected="0">
            <x v="3"/>
          </reference>
          <reference field="8" count="1">
            <x v="1"/>
          </reference>
          <reference field="31" count="1" selected="0">
            <x v="17"/>
          </reference>
        </references>
      </pivotArea>
    </format>
    <format dxfId="247">
      <pivotArea dataOnly="0" labelOnly="1" fieldPosition="0">
        <references count="4">
          <reference field="1" count="1" selected="0">
            <x v="73"/>
          </reference>
          <reference field="2" count="1" selected="0">
            <x v="5"/>
          </reference>
          <reference field="8" count="1">
            <x v="4"/>
          </reference>
          <reference field="31" count="1" selected="0">
            <x v="5"/>
          </reference>
        </references>
      </pivotArea>
    </format>
    <format dxfId="246">
      <pivotArea dataOnly="0" labelOnly="1" fieldPosition="0">
        <references count="4">
          <reference field="1" count="1" selected="0">
            <x v="75"/>
          </reference>
          <reference field="2" count="1" selected="0">
            <x v="2"/>
          </reference>
          <reference field="8" count="1">
            <x v="4"/>
          </reference>
          <reference field="31" count="1" selected="0">
            <x v="1"/>
          </reference>
        </references>
      </pivotArea>
    </format>
    <format dxfId="245">
      <pivotArea dataOnly="0" labelOnly="1" fieldPosition="0">
        <references count="4">
          <reference field="1" count="1" selected="0">
            <x v="77"/>
          </reference>
          <reference field="2" count="1" selected="0">
            <x v="6"/>
          </reference>
          <reference field="8" count="1">
            <x v="3"/>
          </reference>
          <reference field="31" count="1" selected="0">
            <x v="18"/>
          </reference>
        </references>
      </pivotArea>
    </format>
    <format dxfId="244">
      <pivotArea dataOnly="0" labelOnly="1" fieldPosition="0">
        <references count="4">
          <reference field="1" count="1" selected="0">
            <x v="78"/>
          </reference>
          <reference field="2" count="1" selected="0">
            <x v="7"/>
          </reference>
          <reference field="8" count="1">
            <x v="3"/>
          </reference>
          <reference field="31" count="1" selected="0">
            <x v="1"/>
          </reference>
        </references>
      </pivotArea>
    </format>
    <format dxfId="243">
      <pivotArea dataOnly="0" labelOnly="1" fieldPosition="0">
        <references count="4">
          <reference field="1" count="1" selected="0">
            <x v="79"/>
          </reference>
          <reference field="2" count="1" selected="0">
            <x v="4"/>
          </reference>
          <reference field="8" count="1">
            <x v="0"/>
          </reference>
          <reference field="31" count="1" selected="0">
            <x v="13"/>
          </reference>
        </references>
      </pivotArea>
    </format>
    <format dxfId="242">
      <pivotArea dataOnly="0" labelOnly="1" offset="IV256" fieldPosition="0">
        <references count="3">
          <reference field="1" count="1" selected="0">
            <x v="3"/>
          </reference>
          <reference field="2" count="1">
            <x v="6"/>
          </reference>
          <reference field="31" count="1" selected="0">
            <x v="1"/>
          </reference>
        </references>
      </pivotArea>
    </format>
    <format dxfId="241">
      <pivotArea type="all" dataOnly="0" outline="0" fieldPosition="0"/>
    </format>
    <format dxfId="240">
      <pivotArea field="1" type="button" dataOnly="0" labelOnly="1" outline="0" axis="axisRow" fieldPosition="0"/>
    </format>
    <format dxfId="239">
      <pivotArea field="31" type="button" dataOnly="0" labelOnly="1" outline="0" axis="axisRow" fieldPosition="1"/>
    </format>
    <format dxfId="238">
      <pivotArea field="2" type="button" dataOnly="0" labelOnly="1" outline="0" axis="axisRow" fieldPosition="2"/>
    </format>
    <format dxfId="237">
      <pivotArea field="8" type="button" dataOnly="0" labelOnly="1" outline="0" axis="axisRow" fieldPosition="3"/>
    </format>
    <format dxfId="236">
      <pivotArea dataOnly="0" labelOnly="1" fieldPosition="0">
        <references count="1">
          <reference field="1" count="50">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reference>
        </references>
      </pivotArea>
    </format>
    <format dxfId="235">
      <pivotArea dataOnly="0" labelOnly="1" fieldPosition="0">
        <references count="1">
          <reference field="1" count="28">
            <x v="52"/>
            <x v="53"/>
            <x v="54"/>
            <x v="55"/>
            <x v="56"/>
            <x v="57"/>
            <x v="58"/>
            <x v="59"/>
            <x v="60"/>
            <x v="61"/>
            <x v="62"/>
            <x v="63"/>
            <x v="64"/>
            <x v="65"/>
            <x v="66"/>
            <x v="67"/>
            <x v="68"/>
            <x v="69"/>
            <x v="70"/>
            <x v="71"/>
            <x v="72"/>
            <x v="73"/>
            <x v="74"/>
            <x v="75"/>
            <x v="76"/>
            <x v="77"/>
            <x v="78"/>
            <x v="79"/>
          </reference>
        </references>
      </pivotArea>
    </format>
    <format dxfId="234">
      <pivotArea dataOnly="0" labelOnly="1" fieldPosition="0">
        <references count="2">
          <reference field="1" count="1" selected="0">
            <x v="2"/>
          </reference>
          <reference field="31" count="1">
            <x v="13"/>
          </reference>
        </references>
      </pivotArea>
    </format>
    <format dxfId="233">
      <pivotArea dataOnly="0" labelOnly="1" fieldPosition="0">
        <references count="2">
          <reference field="1" count="1" selected="0">
            <x v="3"/>
          </reference>
          <reference field="31" count="1">
            <x v="1"/>
          </reference>
        </references>
      </pivotArea>
    </format>
    <format dxfId="232">
      <pivotArea dataOnly="0" labelOnly="1" fieldPosition="0">
        <references count="2">
          <reference field="1" count="1" selected="0">
            <x v="4"/>
          </reference>
          <reference field="31" count="1">
            <x v="0"/>
          </reference>
        </references>
      </pivotArea>
    </format>
    <format dxfId="231">
      <pivotArea dataOnly="0" labelOnly="1" fieldPosition="0">
        <references count="2">
          <reference field="1" count="1" selected="0">
            <x v="5"/>
          </reference>
          <reference field="31" count="1">
            <x v="5"/>
          </reference>
        </references>
      </pivotArea>
    </format>
    <format dxfId="230">
      <pivotArea dataOnly="0" labelOnly="1" fieldPosition="0">
        <references count="2">
          <reference field="1" count="1" selected="0">
            <x v="6"/>
          </reference>
          <reference field="31" count="1">
            <x v="16"/>
          </reference>
        </references>
      </pivotArea>
    </format>
    <format dxfId="229">
      <pivotArea dataOnly="0" labelOnly="1" fieldPosition="0">
        <references count="2">
          <reference field="1" count="1" selected="0">
            <x v="7"/>
          </reference>
          <reference field="31" count="1">
            <x v="15"/>
          </reference>
        </references>
      </pivotArea>
    </format>
    <format dxfId="228">
      <pivotArea dataOnly="0" labelOnly="1" fieldPosition="0">
        <references count="2">
          <reference field="1" count="1" selected="0">
            <x v="8"/>
          </reference>
          <reference field="31" count="1">
            <x v="8"/>
          </reference>
        </references>
      </pivotArea>
    </format>
    <format dxfId="227">
      <pivotArea dataOnly="0" labelOnly="1" fieldPosition="0">
        <references count="2">
          <reference field="1" count="1" selected="0">
            <x v="9"/>
          </reference>
          <reference field="31" count="1">
            <x v="6"/>
          </reference>
        </references>
      </pivotArea>
    </format>
    <format dxfId="226">
      <pivotArea dataOnly="0" labelOnly="1" fieldPosition="0">
        <references count="2">
          <reference field="1" count="1" selected="0">
            <x v="10"/>
          </reference>
          <reference field="31" count="1">
            <x v="13"/>
          </reference>
        </references>
      </pivotArea>
    </format>
    <format dxfId="225">
      <pivotArea dataOnly="0" labelOnly="1" fieldPosition="0">
        <references count="2">
          <reference field="1" count="1" selected="0">
            <x v="11"/>
          </reference>
          <reference field="31" count="1">
            <x v="12"/>
          </reference>
        </references>
      </pivotArea>
    </format>
    <format dxfId="224">
      <pivotArea dataOnly="0" labelOnly="1" fieldPosition="0">
        <references count="2">
          <reference field="1" count="1" selected="0">
            <x v="12"/>
          </reference>
          <reference field="31" count="1">
            <x v="6"/>
          </reference>
        </references>
      </pivotArea>
    </format>
    <format dxfId="223">
      <pivotArea dataOnly="0" labelOnly="1" fieldPosition="0">
        <references count="2">
          <reference field="1" count="1" selected="0">
            <x v="13"/>
          </reference>
          <reference field="31" count="1">
            <x v="13"/>
          </reference>
        </references>
      </pivotArea>
    </format>
    <format dxfId="222">
      <pivotArea dataOnly="0" labelOnly="1" fieldPosition="0">
        <references count="2">
          <reference field="1" count="1" selected="0">
            <x v="14"/>
          </reference>
          <reference field="31" count="1">
            <x v="11"/>
          </reference>
        </references>
      </pivotArea>
    </format>
    <format dxfId="221">
      <pivotArea dataOnly="0" labelOnly="1" fieldPosition="0">
        <references count="2">
          <reference field="1" count="1" selected="0">
            <x v="15"/>
          </reference>
          <reference field="31" count="1">
            <x v="2"/>
          </reference>
        </references>
      </pivotArea>
    </format>
    <format dxfId="220">
      <pivotArea dataOnly="0" labelOnly="1" fieldPosition="0">
        <references count="2">
          <reference field="1" count="1" selected="0">
            <x v="16"/>
          </reference>
          <reference field="31" count="1">
            <x v="17"/>
          </reference>
        </references>
      </pivotArea>
    </format>
    <format dxfId="219">
      <pivotArea dataOnly="0" labelOnly="1" fieldPosition="0">
        <references count="2">
          <reference field="1" count="1" selected="0">
            <x v="17"/>
          </reference>
          <reference field="31" count="1">
            <x v="5"/>
          </reference>
        </references>
      </pivotArea>
    </format>
    <format dxfId="218">
      <pivotArea dataOnly="0" labelOnly="1" fieldPosition="0">
        <references count="2">
          <reference field="1" count="1" selected="0">
            <x v="18"/>
          </reference>
          <reference field="31" count="1">
            <x v="8"/>
          </reference>
        </references>
      </pivotArea>
    </format>
    <format dxfId="217">
      <pivotArea dataOnly="0" labelOnly="1" fieldPosition="0">
        <references count="2">
          <reference field="1" count="1" selected="0">
            <x v="19"/>
          </reference>
          <reference field="31" count="1">
            <x v="13"/>
          </reference>
        </references>
      </pivotArea>
    </format>
    <format dxfId="216">
      <pivotArea dataOnly="0" labelOnly="1" fieldPosition="0">
        <references count="2">
          <reference field="1" count="1" selected="0">
            <x v="20"/>
          </reference>
          <reference field="31" count="1">
            <x v="7"/>
          </reference>
        </references>
      </pivotArea>
    </format>
    <format dxfId="215">
      <pivotArea dataOnly="0" labelOnly="1" fieldPosition="0">
        <references count="2">
          <reference field="1" count="1" selected="0">
            <x v="21"/>
          </reference>
          <reference field="31" count="1">
            <x v="6"/>
          </reference>
        </references>
      </pivotArea>
    </format>
    <format dxfId="214">
      <pivotArea dataOnly="0" labelOnly="1" fieldPosition="0">
        <references count="2">
          <reference field="1" count="1" selected="0">
            <x v="22"/>
          </reference>
          <reference field="31" count="1">
            <x v="3"/>
          </reference>
        </references>
      </pivotArea>
    </format>
    <format dxfId="213">
      <pivotArea dataOnly="0" labelOnly="1" fieldPosition="0">
        <references count="2">
          <reference field="1" count="1" selected="0">
            <x v="23"/>
          </reference>
          <reference field="31" count="1">
            <x v="17"/>
          </reference>
        </references>
      </pivotArea>
    </format>
    <format dxfId="212">
      <pivotArea dataOnly="0" labelOnly="1" fieldPosition="0">
        <references count="2">
          <reference field="1" count="1" selected="0">
            <x v="24"/>
          </reference>
          <reference field="31" count="1">
            <x v="19"/>
          </reference>
        </references>
      </pivotArea>
    </format>
    <format dxfId="211">
      <pivotArea dataOnly="0" labelOnly="1" fieldPosition="0">
        <references count="2">
          <reference field="1" count="1" selected="0">
            <x v="25"/>
          </reference>
          <reference field="31" count="1">
            <x v="16"/>
          </reference>
        </references>
      </pivotArea>
    </format>
    <format dxfId="210">
      <pivotArea dataOnly="0" labelOnly="1" fieldPosition="0">
        <references count="2">
          <reference field="1" count="1" selected="0">
            <x v="26"/>
          </reference>
          <reference field="31" count="1">
            <x v="12"/>
          </reference>
        </references>
      </pivotArea>
    </format>
    <format dxfId="209">
      <pivotArea dataOnly="0" labelOnly="1" fieldPosition="0">
        <references count="2">
          <reference field="1" count="1" selected="0">
            <x v="27"/>
          </reference>
          <reference field="31" count="1">
            <x v="7"/>
          </reference>
        </references>
      </pivotArea>
    </format>
    <format dxfId="208">
      <pivotArea dataOnly="0" labelOnly="1" fieldPosition="0">
        <references count="2">
          <reference field="1" count="1" selected="0">
            <x v="28"/>
          </reference>
          <reference field="31" count="1">
            <x v="13"/>
          </reference>
        </references>
      </pivotArea>
    </format>
    <format dxfId="207">
      <pivotArea dataOnly="0" labelOnly="1" fieldPosition="0">
        <references count="2">
          <reference field="1" count="1" selected="0">
            <x v="29"/>
          </reference>
          <reference field="31" count="1">
            <x v="1"/>
          </reference>
        </references>
      </pivotArea>
    </format>
    <format dxfId="206">
      <pivotArea dataOnly="0" labelOnly="1" fieldPosition="0">
        <references count="2">
          <reference field="1" count="1" selected="0">
            <x v="30"/>
          </reference>
          <reference field="31" count="1">
            <x v="12"/>
          </reference>
        </references>
      </pivotArea>
    </format>
    <format dxfId="205">
      <pivotArea dataOnly="0" labelOnly="1" fieldPosition="0">
        <references count="2">
          <reference field="1" count="1" selected="0">
            <x v="31"/>
          </reference>
          <reference field="31" count="1">
            <x v="5"/>
          </reference>
        </references>
      </pivotArea>
    </format>
    <format dxfId="204">
      <pivotArea dataOnly="0" labelOnly="1" fieldPosition="0">
        <references count="2">
          <reference field="1" count="1" selected="0">
            <x v="32"/>
          </reference>
          <reference field="31" count="1">
            <x v="11"/>
          </reference>
        </references>
      </pivotArea>
    </format>
    <format dxfId="203">
      <pivotArea dataOnly="0" labelOnly="1" fieldPosition="0">
        <references count="2">
          <reference field="1" count="1" selected="0">
            <x v="33"/>
          </reference>
          <reference field="31" count="1">
            <x v="17"/>
          </reference>
        </references>
      </pivotArea>
    </format>
    <format dxfId="202">
      <pivotArea dataOnly="0" labelOnly="1" fieldPosition="0">
        <references count="2">
          <reference field="1" count="1" selected="0">
            <x v="34"/>
          </reference>
          <reference field="31" count="1">
            <x v="3"/>
          </reference>
        </references>
      </pivotArea>
    </format>
    <format dxfId="201">
      <pivotArea dataOnly="0" labelOnly="1" fieldPosition="0">
        <references count="2">
          <reference field="1" count="1" selected="0">
            <x v="35"/>
          </reference>
          <reference field="31" count="1">
            <x v="14"/>
          </reference>
        </references>
      </pivotArea>
    </format>
    <format dxfId="200">
      <pivotArea dataOnly="0" labelOnly="1" fieldPosition="0">
        <references count="2">
          <reference field="1" count="1" selected="0">
            <x v="36"/>
          </reference>
          <reference field="31" count="1">
            <x v="1"/>
          </reference>
        </references>
      </pivotArea>
    </format>
    <format dxfId="199">
      <pivotArea dataOnly="0" labelOnly="1" fieldPosition="0">
        <references count="2">
          <reference field="1" count="1" selected="0">
            <x v="37"/>
          </reference>
          <reference field="31" count="1">
            <x v="17"/>
          </reference>
        </references>
      </pivotArea>
    </format>
    <format dxfId="198">
      <pivotArea dataOnly="0" labelOnly="1" fieldPosition="0">
        <references count="2">
          <reference field="1" count="1" selected="0">
            <x v="38"/>
          </reference>
          <reference field="31" count="1">
            <x v="13"/>
          </reference>
        </references>
      </pivotArea>
    </format>
    <format dxfId="197">
      <pivotArea dataOnly="0" labelOnly="1" fieldPosition="0">
        <references count="2">
          <reference field="1" count="1" selected="0">
            <x v="40"/>
          </reference>
          <reference field="31" count="1">
            <x v="1"/>
          </reference>
        </references>
      </pivotArea>
    </format>
    <format dxfId="196">
      <pivotArea dataOnly="0" labelOnly="1" fieldPosition="0">
        <references count="2">
          <reference field="1" count="1" selected="0">
            <x v="41"/>
          </reference>
          <reference field="31" count="1">
            <x v="17"/>
          </reference>
        </references>
      </pivotArea>
    </format>
    <format dxfId="195">
      <pivotArea dataOnly="0" labelOnly="1" fieldPosition="0">
        <references count="2">
          <reference field="1" count="1" selected="0">
            <x v="42"/>
          </reference>
          <reference field="31" count="1">
            <x v="9"/>
          </reference>
        </references>
      </pivotArea>
    </format>
    <format dxfId="194">
      <pivotArea dataOnly="0" labelOnly="1" fieldPosition="0">
        <references count="2">
          <reference field="1" count="1" selected="0">
            <x v="43"/>
          </reference>
          <reference field="31" count="1">
            <x v="10"/>
          </reference>
        </references>
      </pivotArea>
    </format>
    <format dxfId="193">
      <pivotArea dataOnly="0" labelOnly="1" fieldPosition="0">
        <references count="2">
          <reference field="1" count="1" selected="0">
            <x v="44"/>
          </reference>
          <reference field="31" count="1">
            <x v="19"/>
          </reference>
        </references>
      </pivotArea>
    </format>
    <format dxfId="192">
      <pivotArea dataOnly="0" labelOnly="1" fieldPosition="0">
        <references count="2">
          <reference field="1" count="1" selected="0">
            <x v="45"/>
          </reference>
          <reference field="31" count="1">
            <x v="20"/>
          </reference>
        </references>
      </pivotArea>
    </format>
    <format dxfId="191">
      <pivotArea dataOnly="0" labelOnly="1" fieldPosition="0">
        <references count="2">
          <reference field="1" count="1" selected="0">
            <x v="46"/>
          </reference>
          <reference field="31" count="1">
            <x v="3"/>
          </reference>
        </references>
      </pivotArea>
    </format>
    <format dxfId="190">
      <pivotArea dataOnly="0" labelOnly="1" fieldPosition="0">
        <references count="2">
          <reference field="1" count="1" selected="0">
            <x v="47"/>
          </reference>
          <reference field="31" count="1">
            <x v="17"/>
          </reference>
        </references>
      </pivotArea>
    </format>
    <format dxfId="189">
      <pivotArea dataOnly="0" labelOnly="1" fieldPosition="0">
        <references count="2">
          <reference field="1" count="1" selected="0">
            <x v="48"/>
          </reference>
          <reference field="31" count="1">
            <x v="19"/>
          </reference>
        </references>
      </pivotArea>
    </format>
    <format dxfId="188">
      <pivotArea dataOnly="0" labelOnly="1" fieldPosition="0">
        <references count="2">
          <reference field="1" count="1" selected="0">
            <x v="49"/>
          </reference>
          <reference field="31" count="1">
            <x v="14"/>
          </reference>
        </references>
      </pivotArea>
    </format>
    <format dxfId="187">
      <pivotArea dataOnly="0" labelOnly="1" fieldPosition="0">
        <references count="2">
          <reference field="1" count="1" selected="0">
            <x v="50"/>
          </reference>
          <reference field="31" count="1">
            <x v="9"/>
          </reference>
        </references>
      </pivotArea>
    </format>
    <format dxfId="186">
      <pivotArea dataOnly="0" labelOnly="1" fieldPosition="0">
        <references count="2">
          <reference field="1" count="1" selected="0">
            <x v="51"/>
          </reference>
          <reference field="31" count="1">
            <x v="1"/>
          </reference>
        </references>
      </pivotArea>
    </format>
    <format dxfId="185">
      <pivotArea dataOnly="0" labelOnly="1" fieldPosition="0">
        <references count="2">
          <reference field="1" count="1" selected="0">
            <x v="52"/>
          </reference>
          <reference field="31" count="1">
            <x v="16"/>
          </reference>
        </references>
      </pivotArea>
    </format>
    <format dxfId="184">
      <pivotArea dataOnly="0" labelOnly="1" fieldPosition="0">
        <references count="2">
          <reference field="1" count="1" selected="0">
            <x v="53"/>
          </reference>
          <reference field="31" count="1">
            <x v="6"/>
          </reference>
        </references>
      </pivotArea>
    </format>
    <format dxfId="183">
      <pivotArea dataOnly="0" labelOnly="1" fieldPosition="0">
        <references count="2">
          <reference field="1" count="1" selected="0">
            <x v="54"/>
          </reference>
          <reference field="31" count="1">
            <x v="17"/>
          </reference>
        </references>
      </pivotArea>
    </format>
    <format dxfId="182">
      <pivotArea dataOnly="0" labelOnly="1" fieldPosition="0">
        <references count="2">
          <reference field="1" count="1" selected="0">
            <x v="55"/>
          </reference>
          <reference field="31" count="1">
            <x v="9"/>
          </reference>
        </references>
      </pivotArea>
    </format>
    <format dxfId="181">
      <pivotArea dataOnly="0" labelOnly="1" fieldPosition="0">
        <references count="2">
          <reference field="1" count="1" selected="0">
            <x v="56"/>
          </reference>
          <reference field="31" count="1">
            <x v="14"/>
          </reference>
        </references>
      </pivotArea>
    </format>
    <format dxfId="180">
      <pivotArea dataOnly="0" labelOnly="1" fieldPosition="0">
        <references count="2">
          <reference field="1" count="1" selected="0">
            <x v="57"/>
          </reference>
          <reference field="31" count="1">
            <x v="17"/>
          </reference>
        </references>
      </pivotArea>
    </format>
    <format dxfId="179">
      <pivotArea dataOnly="0" labelOnly="1" fieldPosition="0">
        <references count="2">
          <reference field="1" count="1" selected="0">
            <x v="58"/>
          </reference>
          <reference field="31" count="1">
            <x v="6"/>
          </reference>
        </references>
      </pivotArea>
    </format>
    <format dxfId="178">
      <pivotArea dataOnly="0" labelOnly="1" fieldPosition="0">
        <references count="2">
          <reference field="1" count="1" selected="0">
            <x v="59"/>
          </reference>
          <reference field="31" count="1">
            <x v="3"/>
          </reference>
        </references>
      </pivotArea>
    </format>
    <format dxfId="177">
      <pivotArea dataOnly="0" labelOnly="1" fieldPosition="0">
        <references count="2">
          <reference field="1" count="1" selected="0">
            <x v="60"/>
          </reference>
          <reference field="31" count="1">
            <x v="14"/>
          </reference>
        </references>
      </pivotArea>
    </format>
    <format dxfId="176">
      <pivotArea dataOnly="0" labelOnly="1" fieldPosition="0">
        <references count="2">
          <reference field="1" count="1" selected="0">
            <x v="61"/>
          </reference>
          <reference field="31" count="1">
            <x v="17"/>
          </reference>
        </references>
      </pivotArea>
    </format>
    <format dxfId="175">
      <pivotArea dataOnly="0" labelOnly="1" fieldPosition="0">
        <references count="2">
          <reference field="1" count="1" selected="0">
            <x v="62"/>
          </reference>
          <reference field="31" count="1">
            <x v="3"/>
          </reference>
        </references>
      </pivotArea>
    </format>
    <format dxfId="174">
      <pivotArea dataOnly="0" labelOnly="1" fieldPosition="0">
        <references count="2">
          <reference field="1" count="1" selected="0">
            <x v="63"/>
          </reference>
          <reference field="31" count="1">
            <x v="10"/>
          </reference>
        </references>
      </pivotArea>
    </format>
    <format dxfId="173">
      <pivotArea dataOnly="0" labelOnly="1" fieldPosition="0">
        <references count="2">
          <reference field="1" count="1" selected="0">
            <x v="64"/>
          </reference>
          <reference field="31" count="1">
            <x v="13"/>
          </reference>
        </references>
      </pivotArea>
    </format>
    <format dxfId="172">
      <pivotArea dataOnly="0" labelOnly="1" fieldPosition="0">
        <references count="2">
          <reference field="1" count="1" selected="0">
            <x v="65"/>
          </reference>
          <reference field="31" count="1">
            <x v="17"/>
          </reference>
        </references>
      </pivotArea>
    </format>
    <format dxfId="171">
      <pivotArea dataOnly="0" labelOnly="1" fieldPosition="0">
        <references count="2">
          <reference field="1" count="1" selected="0">
            <x v="66"/>
          </reference>
          <reference field="31" count="1">
            <x v="19"/>
          </reference>
        </references>
      </pivotArea>
    </format>
    <format dxfId="170">
      <pivotArea dataOnly="0" labelOnly="1" fieldPosition="0">
        <references count="2">
          <reference field="1" count="1" selected="0">
            <x v="67"/>
          </reference>
          <reference field="31" count="1">
            <x v="15"/>
          </reference>
        </references>
      </pivotArea>
    </format>
    <format dxfId="169">
      <pivotArea dataOnly="0" labelOnly="1" fieldPosition="0">
        <references count="2">
          <reference field="1" count="1" selected="0">
            <x v="68"/>
          </reference>
          <reference field="31" count="1">
            <x v="7"/>
          </reference>
        </references>
      </pivotArea>
    </format>
    <format dxfId="168">
      <pivotArea dataOnly="0" labelOnly="1" fieldPosition="0">
        <references count="2">
          <reference field="1" count="1" selected="0">
            <x v="69"/>
          </reference>
          <reference field="31" count="1">
            <x v="1"/>
          </reference>
        </references>
      </pivotArea>
    </format>
    <format dxfId="167">
      <pivotArea dataOnly="0" labelOnly="1" fieldPosition="0">
        <references count="2">
          <reference field="1" count="1" selected="0">
            <x v="70"/>
          </reference>
          <reference field="31" count="1">
            <x v="12"/>
          </reference>
        </references>
      </pivotArea>
    </format>
    <format dxfId="166">
      <pivotArea dataOnly="0" labelOnly="1" fieldPosition="0">
        <references count="2">
          <reference field="1" count="1" selected="0">
            <x v="71"/>
          </reference>
          <reference field="31" count="1">
            <x v="17"/>
          </reference>
        </references>
      </pivotArea>
    </format>
    <format dxfId="165">
      <pivotArea dataOnly="0" labelOnly="1" fieldPosition="0">
        <references count="2">
          <reference field="1" count="1" selected="0">
            <x v="72"/>
          </reference>
          <reference field="31" count="1">
            <x v="15"/>
          </reference>
        </references>
      </pivotArea>
    </format>
    <format dxfId="164">
      <pivotArea dataOnly="0" labelOnly="1" fieldPosition="0">
        <references count="2">
          <reference field="1" count="1" selected="0">
            <x v="73"/>
          </reference>
          <reference field="31" count="1">
            <x v="5"/>
          </reference>
        </references>
      </pivotArea>
    </format>
    <format dxfId="163">
      <pivotArea dataOnly="0" labelOnly="1" fieldPosition="0">
        <references count="2">
          <reference field="1" count="1" selected="0">
            <x v="74"/>
          </reference>
          <reference field="31" count="1">
            <x v="4"/>
          </reference>
        </references>
      </pivotArea>
    </format>
    <format dxfId="162">
      <pivotArea dataOnly="0" labelOnly="1" fieldPosition="0">
        <references count="2">
          <reference field="1" count="1" selected="0">
            <x v="75"/>
          </reference>
          <reference field="31" count="1">
            <x v="1"/>
          </reference>
        </references>
      </pivotArea>
    </format>
    <format dxfId="161">
      <pivotArea dataOnly="0" labelOnly="1" fieldPosition="0">
        <references count="2">
          <reference field="1" count="1" selected="0">
            <x v="76"/>
          </reference>
          <reference field="31" count="1">
            <x v="17"/>
          </reference>
        </references>
      </pivotArea>
    </format>
    <format dxfId="160">
      <pivotArea dataOnly="0" labelOnly="1" fieldPosition="0">
        <references count="2">
          <reference field="1" count="1" selected="0">
            <x v="77"/>
          </reference>
          <reference field="31" count="1">
            <x v="18"/>
          </reference>
        </references>
      </pivotArea>
    </format>
    <format dxfId="159">
      <pivotArea dataOnly="0" labelOnly="1" fieldPosition="0">
        <references count="2">
          <reference field="1" count="1" selected="0">
            <x v="78"/>
          </reference>
          <reference field="31" count="1">
            <x v="1"/>
          </reference>
        </references>
      </pivotArea>
    </format>
    <format dxfId="158">
      <pivotArea dataOnly="0" labelOnly="1" fieldPosition="0">
        <references count="2">
          <reference field="1" count="1" selected="0">
            <x v="79"/>
          </reference>
          <reference field="31" count="1">
            <x v="13"/>
          </reference>
        </references>
      </pivotArea>
    </format>
    <format dxfId="157">
      <pivotArea dataOnly="0" labelOnly="1" fieldPosition="0">
        <references count="3">
          <reference field="1" count="1" selected="0">
            <x v="2"/>
          </reference>
          <reference field="2" count="1">
            <x v="1"/>
          </reference>
          <reference field="31" count="1" selected="0">
            <x v="13"/>
          </reference>
        </references>
      </pivotArea>
    </format>
    <format dxfId="156">
      <pivotArea dataOnly="0" labelOnly="1" fieldPosition="0">
        <references count="3">
          <reference field="1" count="1" selected="0">
            <x v="3"/>
          </reference>
          <reference field="2" count="1">
            <x v="6"/>
          </reference>
          <reference field="31" count="1" selected="0">
            <x v="1"/>
          </reference>
        </references>
      </pivotArea>
    </format>
    <format dxfId="155">
      <pivotArea dataOnly="0" labelOnly="1" fieldPosition="0">
        <references count="3">
          <reference field="1" count="1" selected="0">
            <x v="5"/>
          </reference>
          <reference field="2" count="1">
            <x v="2"/>
          </reference>
          <reference field="31" count="1" selected="0">
            <x v="5"/>
          </reference>
        </references>
      </pivotArea>
    </format>
    <format dxfId="154">
      <pivotArea dataOnly="0" labelOnly="1" fieldPosition="0">
        <references count="3">
          <reference field="1" count="1" selected="0">
            <x v="6"/>
          </reference>
          <reference field="2" count="1">
            <x v="5"/>
          </reference>
          <reference field="31" count="1" selected="0">
            <x v="16"/>
          </reference>
        </references>
      </pivotArea>
    </format>
    <format dxfId="153">
      <pivotArea dataOnly="0" labelOnly="1" fieldPosition="0">
        <references count="3">
          <reference field="1" count="1" selected="0">
            <x v="7"/>
          </reference>
          <reference field="2" count="1">
            <x v="3"/>
          </reference>
          <reference field="31" count="1" selected="0">
            <x v="15"/>
          </reference>
        </references>
      </pivotArea>
    </format>
    <format dxfId="152">
      <pivotArea dataOnly="0" labelOnly="1" fieldPosition="0">
        <references count="3">
          <reference field="1" count="1" selected="0">
            <x v="8"/>
          </reference>
          <reference field="2" count="1">
            <x v="7"/>
          </reference>
          <reference field="31" count="1" selected="0">
            <x v="8"/>
          </reference>
        </references>
      </pivotArea>
    </format>
    <format dxfId="151">
      <pivotArea dataOnly="0" labelOnly="1" fieldPosition="0">
        <references count="3">
          <reference field="1" count="1" selected="0">
            <x v="10"/>
          </reference>
          <reference field="2" count="1">
            <x v="1"/>
          </reference>
          <reference field="31" count="1" selected="0">
            <x v="13"/>
          </reference>
        </references>
      </pivotArea>
    </format>
    <format dxfId="150">
      <pivotArea dataOnly="0" labelOnly="1" fieldPosition="0">
        <references count="3">
          <reference field="1" count="1" selected="0">
            <x v="11"/>
          </reference>
          <reference field="2" count="1">
            <x v="3"/>
          </reference>
          <reference field="31" count="1" selected="0">
            <x v="12"/>
          </reference>
        </references>
      </pivotArea>
    </format>
    <format dxfId="149">
      <pivotArea dataOnly="0" labelOnly="1" fieldPosition="0">
        <references count="3">
          <reference field="1" count="1" selected="0">
            <x v="12"/>
          </reference>
          <reference field="2" count="1">
            <x v="1"/>
          </reference>
          <reference field="31" count="1" selected="0">
            <x v="6"/>
          </reference>
        </references>
      </pivotArea>
    </format>
    <format dxfId="148">
      <pivotArea dataOnly="0" labelOnly="1" fieldPosition="0">
        <references count="3">
          <reference field="1" count="1" selected="0">
            <x v="13"/>
          </reference>
          <reference field="2" count="1">
            <x v="7"/>
          </reference>
          <reference field="31" count="1" selected="0">
            <x v="13"/>
          </reference>
        </references>
      </pivotArea>
    </format>
    <format dxfId="147">
      <pivotArea dataOnly="0" labelOnly="1" fieldPosition="0">
        <references count="3">
          <reference field="1" count="1" selected="0">
            <x v="15"/>
          </reference>
          <reference field="2" count="1">
            <x v="4"/>
          </reference>
          <reference field="31" count="1" selected="0">
            <x v="2"/>
          </reference>
        </references>
      </pivotArea>
    </format>
    <format dxfId="146">
      <pivotArea dataOnly="0" labelOnly="1" fieldPosition="0">
        <references count="3">
          <reference field="1" count="1" selected="0">
            <x v="16"/>
          </reference>
          <reference field="2" count="1">
            <x v="5"/>
          </reference>
          <reference field="31" count="1" selected="0">
            <x v="17"/>
          </reference>
        </references>
      </pivotArea>
    </format>
    <format dxfId="145">
      <pivotArea dataOnly="0" labelOnly="1" fieldPosition="0">
        <references count="3">
          <reference field="1" count="1" selected="0">
            <x v="17"/>
          </reference>
          <reference field="2" count="1">
            <x v="1"/>
          </reference>
          <reference field="31" count="1" selected="0">
            <x v="5"/>
          </reference>
        </references>
      </pivotArea>
    </format>
    <format dxfId="144">
      <pivotArea dataOnly="0" labelOnly="1" fieldPosition="0">
        <references count="3">
          <reference field="1" count="1" selected="0">
            <x v="20"/>
          </reference>
          <reference field="2" count="1">
            <x v="3"/>
          </reference>
          <reference field="31" count="1" selected="0">
            <x v="7"/>
          </reference>
        </references>
      </pivotArea>
    </format>
    <format dxfId="143">
      <pivotArea dataOnly="0" labelOnly="1" fieldPosition="0">
        <references count="3">
          <reference field="1" count="1" selected="0">
            <x v="21"/>
          </reference>
          <reference field="2" count="1">
            <x v="6"/>
          </reference>
          <reference field="31" count="1" selected="0">
            <x v="6"/>
          </reference>
        </references>
      </pivotArea>
    </format>
    <format dxfId="142">
      <pivotArea dataOnly="0" labelOnly="1" fieldPosition="0">
        <references count="3">
          <reference field="1" count="1" selected="0">
            <x v="22"/>
          </reference>
          <reference field="2" count="1">
            <x v="3"/>
          </reference>
          <reference field="31" count="1" selected="0">
            <x v="3"/>
          </reference>
        </references>
      </pivotArea>
    </format>
    <format dxfId="141">
      <pivotArea dataOnly="0" labelOnly="1" fieldPosition="0">
        <references count="3">
          <reference field="1" count="1" selected="0">
            <x v="23"/>
          </reference>
          <reference field="2" count="1">
            <x v="7"/>
          </reference>
          <reference field="31" count="1" selected="0">
            <x v="17"/>
          </reference>
        </references>
      </pivotArea>
    </format>
    <format dxfId="140">
      <pivotArea dataOnly="0" labelOnly="1" fieldPosition="0">
        <references count="3">
          <reference field="1" count="1" selected="0">
            <x v="24"/>
          </reference>
          <reference field="2" count="1">
            <x v="0"/>
          </reference>
          <reference field="31" count="1" selected="0">
            <x v="19"/>
          </reference>
        </references>
      </pivotArea>
    </format>
    <format dxfId="139">
      <pivotArea dataOnly="0" labelOnly="1" fieldPosition="0">
        <references count="3">
          <reference field="1" count="1" selected="0">
            <x v="25"/>
          </reference>
          <reference field="2" count="1">
            <x v="4"/>
          </reference>
          <reference field="31" count="1" selected="0">
            <x v="16"/>
          </reference>
        </references>
      </pivotArea>
    </format>
    <format dxfId="138">
      <pivotArea dataOnly="0" labelOnly="1" fieldPosition="0">
        <references count="3">
          <reference field="1" count="1" selected="0">
            <x v="26"/>
          </reference>
          <reference field="2" count="1">
            <x v="6"/>
          </reference>
          <reference field="31" count="1" selected="0">
            <x v="12"/>
          </reference>
        </references>
      </pivotArea>
    </format>
    <format dxfId="137">
      <pivotArea dataOnly="0" labelOnly="1" fieldPosition="0">
        <references count="3">
          <reference field="1" count="1" selected="0">
            <x v="27"/>
          </reference>
          <reference field="2" count="1">
            <x v="5"/>
          </reference>
          <reference field="31" count="1" selected="0">
            <x v="7"/>
          </reference>
        </references>
      </pivotArea>
    </format>
    <format dxfId="136">
      <pivotArea dataOnly="0" labelOnly="1" fieldPosition="0">
        <references count="3">
          <reference field="1" count="1" selected="0">
            <x v="28"/>
          </reference>
          <reference field="2" count="1">
            <x v="2"/>
          </reference>
          <reference field="31" count="1" selected="0">
            <x v="13"/>
          </reference>
        </references>
      </pivotArea>
    </format>
    <format dxfId="135">
      <pivotArea dataOnly="0" labelOnly="1" fieldPosition="0">
        <references count="3">
          <reference field="1" count="1" selected="0">
            <x v="29"/>
          </reference>
          <reference field="2" count="1">
            <x v="4"/>
          </reference>
          <reference field="31" count="1" selected="0">
            <x v="1"/>
          </reference>
        </references>
      </pivotArea>
    </format>
    <format dxfId="134">
      <pivotArea dataOnly="0" labelOnly="1" fieldPosition="0">
        <references count="3">
          <reference field="1" count="1" selected="0">
            <x v="30"/>
          </reference>
          <reference field="2" count="1">
            <x v="3"/>
          </reference>
          <reference field="31" count="1" selected="0">
            <x v="12"/>
          </reference>
        </references>
      </pivotArea>
    </format>
    <format dxfId="133">
      <pivotArea dataOnly="0" labelOnly="1" fieldPosition="0">
        <references count="3">
          <reference field="1" count="1" selected="0">
            <x v="31"/>
          </reference>
          <reference field="2" count="1">
            <x v="0"/>
          </reference>
          <reference field="31" count="1" selected="0">
            <x v="5"/>
          </reference>
        </references>
      </pivotArea>
    </format>
    <format dxfId="132">
      <pivotArea dataOnly="0" labelOnly="1" fieldPosition="0">
        <references count="3">
          <reference field="1" count="1" selected="0">
            <x v="32"/>
          </reference>
          <reference field="2" count="1">
            <x v="6"/>
          </reference>
          <reference field="31" count="1" selected="0">
            <x v="11"/>
          </reference>
        </references>
      </pivotArea>
    </format>
    <format dxfId="131">
      <pivotArea dataOnly="0" labelOnly="1" fieldPosition="0">
        <references count="3">
          <reference field="1" count="1" selected="0">
            <x v="33"/>
          </reference>
          <reference field="2" count="1">
            <x v="1"/>
          </reference>
          <reference field="31" count="1" selected="0">
            <x v="17"/>
          </reference>
        </references>
      </pivotArea>
    </format>
    <format dxfId="130">
      <pivotArea dataOnly="0" labelOnly="1" fieldPosition="0">
        <references count="3">
          <reference field="1" count="1" selected="0">
            <x v="34"/>
          </reference>
          <reference field="2" count="1">
            <x v="2"/>
          </reference>
          <reference field="31" count="1" selected="0">
            <x v="3"/>
          </reference>
        </references>
      </pivotArea>
    </format>
    <format dxfId="129">
      <pivotArea dataOnly="0" labelOnly="1" fieldPosition="0">
        <references count="3">
          <reference field="1" count="1" selected="0">
            <x v="35"/>
          </reference>
          <reference field="2" count="1">
            <x v="1"/>
          </reference>
          <reference field="31" count="1" selected="0">
            <x v="14"/>
          </reference>
        </references>
      </pivotArea>
    </format>
    <format dxfId="128">
      <pivotArea dataOnly="0" labelOnly="1" fieldPosition="0">
        <references count="3">
          <reference field="1" count="1" selected="0">
            <x v="37"/>
          </reference>
          <reference field="2" count="1">
            <x v="7"/>
          </reference>
          <reference field="31" count="1" selected="0">
            <x v="17"/>
          </reference>
        </references>
      </pivotArea>
    </format>
    <format dxfId="127">
      <pivotArea dataOnly="0" labelOnly="1" fieldPosition="0">
        <references count="3">
          <reference field="1" count="1" selected="0">
            <x v="38"/>
          </reference>
          <reference field="2" count="1">
            <x v="5"/>
          </reference>
          <reference field="31" count="1" selected="0">
            <x v="13"/>
          </reference>
        </references>
      </pivotArea>
    </format>
    <format dxfId="126">
      <pivotArea dataOnly="0" labelOnly="1" fieldPosition="0">
        <references count="3">
          <reference field="1" count="1" selected="0">
            <x v="39"/>
          </reference>
          <reference field="2" count="1">
            <x v="6"/>
          </reference>
          <reference field="31" count="1" selected="0">
            <x v="13"/>
          </reference>
        </references>
      </pivotArea>
    </format>
    <format dxfId="125">
      <pivotArea dataOnly="0" labelOnly="1" fieldPosition="0">
        <references count="3">
          <reference field="1" count="1" selected="0">
            <x v="40"/>
          </reference>
          <reference field="2" count="1">
            <x v="7"/>
          </reference>
          <reference field="31" count="1" selected="0">
            <x v="1"/>
          </reference>
        </references>
      </pivotArea>
    </format>
    <format dxfId="124">
      <pivotArea dataOnly="0" labelOnly="1" fieldPosition="0">
        <references count="3">
          <reference field="1" count="1" selected="0">
            <x v="41"/>
          </reference>
          <reference field="2" count="1">
            <x v="5"/>
          </reference>
          <reference field="31" count="1" selected="0">
            <x v="17"/>
          </reference>
        </references>
      </pivotArea>
    </format>
    <format dxfId="123">
      <pivotArea dataOnly="0" labelOnly="1" fieldPosition="0">
        <references count="3">
          <reference field="1" count="1" selected="0">
            <x v="42"/>
          </reference>
          <reference field="2" count="1">
            <x v="4"/>
          </reference>
          <reference field="31" count="1" selected="0">
            <x v="9"/>
          </reference>
        </references>
      </pivotArea>
    </format>
    <format dxfId="122">
      <pivotArea dataOnly="0" labelOnly="1" fieldPosition="0">
        <references count="3">
          <reference field="1" count="1" selected="0">
            <x v="43"/>
          </reference>
          <reference field="2" count="1">
            <x v="5"/>
          </reference>
          <reference field="31" count="1" selected="0">
            <x v="10"/>
          </reference>
        </references>
      </pivotArea>
    </format>
    <format dxfId="121">
      <pivotArea dataOnly="0" labelOnly="1" fieldPosition="0">
        <references count="3">
          <reference field="1" count="1" selected="0">
            <x v="44"/>
          </reference>
          <reference field="2" count="1">
            <x v="7"/>
          </reference>
          <reference field="31" count="1" selected="0">
            <x v="19"/>
          </reference>
        </references>
      </pivotArea>
    </format>
    <format dxfId="120">
      <pivotArea dataOnly="0" labelOnly="1" fieldPosition="0">
        <references count="3">
          <reference field="1" count="1" selected="0">
            <x v="45"/>
          </reference>
          <reference field="2" count="1">
            <x v="2"/>
          </reference>
          <reference field="31" count="1" selected="0">
            <x v="20"/>
          </reference>
        </references>
      </pivotArea>
    </format>
    <format dxfId="119">
      <pivotArea dataOnly="0" labelOnly="1" fieldPosition="0">
        <references count="3">
          <reference field="1" count="1" selected="0">
            <x v="46"/>
          </reference>
          <reference field="2" count="1">
            <x v="3"/>
          </reference>
          <reference field="31" count="1" selected="0">
            <x v="3"/>
          </reference>
        </references>
      </pivotArea>
    </format>
    <format dxfId="118">
      <pivotArea dataOnly="0" labelOnly="1" fieldPosition="0">
        <references count="3">
          <reference field="1" count="1" selected="0">
            <x v="47"/>
          </reference>
          <reference field="2" count="1">
            <x v="0"/>
          </reference>
          <reference field="31" count="1" selected="0">
            <x v="17"/>
          </reference>
        </references>
      </pivotArea>
    </format>
    <format dxfId="117">
      <pivotArea dataOnly="0" labelOnly="1" fieldPosition="0">
        <references count="3">
          <reference field="1" count="1" selected="0">
            <x v="48"/>
          </reference>
          <reference field="2" count="1">
            <x v="5"/>
          </reference>
          <reference field="31" count="1" selected="0">
            <x v="19"/>
          </reference>
        </references>
      </pivotArea>
    </format>
    <format dxfId="116">
      <pivotArea dataOnly="0" labelOnly="1" fieldPosition="0">
        <references count="3">
          <reference field="1" count="1" selected="0">
            <x v="49"/>
          </reference>
          <reference field="2" count="1">
            <x v="1"/>
          </reference>
          <reference field="31" count="1" selected="0">
            <x v="14"/>
          </reference>
        </references>
      </pivotArea>
    </format>
    <format dxfId="115">
      <pivotArea dataOnly="0" labelOnly="1" fieldPosition="0">
        <references count="3">
          <reference field="1" count="1" selected="0">
            <x v="50"/>
          </reference>
          <reference field="2" count="1">
            <x v="7"/>
          </reference>
          <reference field="31" count="1" selected="0">
            <x v="9"/>
          </reference>
        </references>
      </pivotArea>
    </format>
    <format dxfId="114">
      <pivotArea dataOnly="0" labelOnly="1" fieldPosition="0">
        <references count="3">
          <reference field="1" count="1" selected="0">
            <x v="51"/>
          </reference>
          <reference field="2" count="1">
            <x v="0"/>
          </reference>
          <reference field="31" count="1" selected="0">
            <x v="1"/>
          </reference>
        </references>
      </pivotArea>
    </format>
    <format dxfId="113">
      <pivotArea dataOnly="0" labelOnly="1" fieldPosition="0">
        <references count="3">
          <reference field="1" count="1" selected="0">
            <x v="52"/>
          </reference>
          <reference field="2" count="1">
            <x v="6"/>
          </reference>
          <reference field="31" count="1" selected="0">
            <x v="16"/>
          </reference>
        </references>
      </pivotArea>
    </format>
    <format dxfId="112">
      <pivotArea dataOnly="0" labelOnly="1" fieldPosition="0">
        <references count="3">
          <reference field="1" count="1" selected="0">
            <x v="53"/>
          </reference>
          <reference field="2" count="1">
            <x v="4"/>
          </reference>
          <reference field="31" count="1" selected="0">
            <x v="6"/>
          </reference>
        </references>
      </pivotArea>
    </format>
    <format dxfId="111">
      <pivotArea dataOnly="0" labelOnly="1" fieldPosition="0">
        <references count="3">
          <reference field="1" count="1" selected="0">
            <x v="54"/>
          </reference>
          <reference field="2" count="1">
            <x v="3"/>
          </reference>
          <reference field="31" count="1" selected="0">
            <x v="17"/>
          </reference>
        </references>
      </pivotArea>
    </format>
    <format dxfId="110">
      <pivotArea dataOnly="0" labelOnly="1" fieldPosition="0">
        <references count="3">
          <reference field="1" count="1" selected="0">
            <x v="55"/>
          </reference>
          <reference field="2" count="1">
            <x v="5"/>
          </reference>
          <reference field="31" count="1" selected="0">
            <x v="9"/>
          </reference>
        </references>
      </pivotArea>
    </format>
    <format dxfId="109">
      <pivotArea dataOnly="0" labelOnly="1" fieldPosition="0">
        <references count="3">
          <reference field="1" count="1" selected="0">
            <x v="56"/>
          </reference>
          <reference field="2" count="1">
            <x v="4"/>
          </reference>
          <reference field="31" count="1" selected="0">
            <x v="14"/>
          </reference>
        </references>
      </pivotArea>
    </format>
    <format dxfId="108">
      <pivotArea dataOnly="0" labelOnly="1" fieldPosition="0">
        <references count="3">
          <reference field="1" count="1" selected="0">
            <x v="57"/>
          </reference>
          <reference field="2" count="1">
            <x v="0"/>
          </reference>
          <reference field="31" count="1" selected="0">
            <x v="17"/>
          </reference>
        </references>
      </pivotArea>
    </format>
    <format dxfId="107">
      <pivotArea dataOnly="0" labelOnly="1" fieldPosition="0">
        <references count="3">
          <reference field="1" count="1" selected="0">
            <x v="58"/>
          </reference>
          <reference field="2" count="1">
            <x v="6"/>
          </reference>
          <reference field="31" count="1" selected="0">
            <x v="6"/>
          </reference>
        </references>
      </pivotArea>
    </format>
    <format dxfId="106">
      <pivotArea dataOnly="0" labelOnly="1" fieldPosition="0">
        <references count="3">
          <reference field="1" count="1" selected="0">
            <x v="59"/>
          </reference>
          <reference field="2" count="1">
            <x v="7"/>
          </reference>
          <reference field="31" count="1" selected="0">
            <x v="3"/>
          </reference>
        </references>
      </pivotArea>
    </format>
    <format dxfId="105">
      <pivotArea dataOnly="0" labelOnly="1" fieldPosition="0">
        <references count="3">
          <reference field="1" count="1" selected="0">
            <x v="60"/>
          </reference>
          <reference field="2" count="1">
            <x v="1"/>
          </reference>
          <reference field="31" count="1" selected="0">
            <x v="14"/>
          </reference>
        </references>
      </pivotArea>
    </format>
    <format dxfId="104">
      <pivotArea dataOnly="0" labelOnly="1" fieldPosition="0">
        <references count="3">
          <reference field="1" count="1" selected="0">
            <x v="61"/>
          </reference>
          <reference field="2" count="1">
            <x v="3"/>
          </reference>
          <reference field="31" count="1" selected="0">
            <x v="17"/>
          </reference>
        </references>
      </pivotArea>
    </format>
    <format dxfId="103">
      <pivotArea dataOnly="0" labelOnly="1" fieldPosition="0">
        <references count="3">
          <reference field="1" count="1" selected="0">
            <x v="62"/>
          </reference>
          <reference field="2" count="1">
            <x v="4"/>
          </reference>
          <reference field="31" count="1" selected="0">
            <x v="3"/>
          </reference>
        </references>
      </pivotArea>
    </format>
    <format dxfId="102">
      <pivotArea dataOnly="0" labelOnly="1" fieldPosition="0">
        <references count="3">
          <reference field="1" count="1" selected="0">
            <x v="63"/>
          </reference>
          <reference field="2" count="1">
            <x v="1"/>
          </reference>
          <reference field="31" count="1" selected="0">
            <x v="10"/>
          </reference>
        </references>
      </pivotArea>
    </format>
    <format dxfId="101">
      <pivotArea dataOnly="0" labelOnly="1" fieldPosition="0">
        <references count="3">
          <reference field="1" count="1" selected="0">
            <x v="65"/>
          </reference>
          <reference field="2" count="1">
            <x v="6"/>
          </reference>
          <reference field="31" count="1" selected="0">
            <x v="17"/>
          </reference>
        </references>
      </pivotArea>
    </format>
    <format dxfId="100">
      <pivotArea dataOnly="0" labelOnly="1" fieldPosition="0">
        <references count="3">
          <reference field="1" count="1" selected="0">
            <x v="66"/>
          </reference>
          <reference field="2" count="1">
            <x v="7"/>
          </reference>
          <reference field="31" count="1" selected="0">
            <x v="19"/>
          </reference>
        </references>
      </pivotArea>
    </format>
    <format dxfId="99">
      <pivotArea dataOnly="0" labelOnly="1" fieldPosition="0">
        <references count="3">
          <reference field="1" count="1" selected="0">
            <x v="67"/>
          </reference>
          <reference field="2" count="1">
            <x v="0"/>
          </reference>
          <reference field="31" count="1" selected="0">
            <x v="15"/>
          </reference>
        </references>
      </pivotArea>
    </format>
    <format dxfId="98">
      <pivotArea dataOnly="0" labelOnly="1" fieldPosition="0">
        <references count="3">
          <reference field="1" count="1" selected="0">
            <x v="68"/>
          </reference>
          <reference field="2" count="1">
            <x v="7"/>
          </reference>
          <reference field="31" count="1" selected="0">
            <x v="7"/>
          </reference>
        </references>
      </pivotArea>
    </format>
    <format dxfId="97">
      <pivotArea dataOnly="0" labelOnly="1" fieldPosition="0">
        <references count="3">
          <reference field="1" count="1" selected="0">
            <x v="69"/>
          </reference>
          <reference field="2" count="1">
            <x v="4"/>
          </reference>
          <reference field="31" count="1" selected="0">
            <x v="1"/>
          </reference>
        </references>
      </pivotArea>
    </format>
    <format dxfId="96">
      <pivotArea dataOnly="0" labelOnly="1" fieldPosition="0">
        <references count="3">
          <reference field="1" count="1" selected="0">
            <x v="71"/>
          </reference>
          <reference field="2" count="1">
            <x v="3"/>
          </reference>
          <reference field="31" count="1" selected="0">
            <x v="17"/>
          </reference>
        </references>
      </pivotArea>
    </format>
    <format dxfId="95">
      <pivotArea dataOnly="0" labelOnly="1" fieldPosition="0">
        <references count="3">
          <reference field="1" count="1" selected="0">
            <x v="72"/>
          </reference>
          <reference field="2" count="1">
            <x v="4"/>
          </reference>
          <reference field="31" count="1" selected="0">
            <x v="15"/>
          </reference>
        </references>
      </pivotArea>
    </format>
    <format dxfId="94">
      <pivotArea dataOnly="0" labelOnly="1" fieldPosition="0">
        <references count="3">
          <reference field="1" count="1" selected="0">
            <x v="73"/>
          </reference>
          <reference field="2" count="1">
            <x v="5"/>
          </reference>
          <reference field="31" count="1" selected="0">
            <x v="5"/>
          </reference>
        </references>
      </pivotArea>
    </format>
    <format dxfId="93">
      <pivotArea dataOnly="0" labelOnly="1" fieldPosition="0">
        <references count="3">
          <reference field="1" count="1" selected="0">
            <x v="74"/>
          </reference>
          <reference field="2" count="1">
            <x v="1"/>
          </reference>
          <reference field="31" count="1" selected="0">
            <x v="4"/>
          </reference>
        </references>
      </pivotArea>
    </format>
    <format dxfId="92">
      <pivotArea dataOnly="0" labelOnly="1" fieldPosition="0">
        <references count="3">
          <reference field="1" count="1" selected="0">
            <x v="75"/>
          </reference>
          <reference field="2" count="1">
            <x v="2"/>
          </reference>
          <reference field="31" count="1" selected="0">
            <x v="1"/>
          </reference>
        </references>
      </pivotArea>
    </format>
    <format dxfId="91">
      <pivotArea dataOnly="0" labelOnly="1" fieldPosition="0">
        <references count="3">
          <reference field="1" count="1" selected="0">
            <x v="76"/>
          </reference>
          <reference field="2" count="1">
            <x v="1"/>
          </reference>
          <reference field="31" count="1" selected="0">
            <x v="17"/>
          </reference>
        </references>
      </pivotArea>
    </format>
    <format dxfId="90">
      <pivotArea dataOnly="0" labelOnly="1" fieldPosition="0">
        <references count="3">
          <reference field="1" count="1" selected="0">
            <x v="77"/>
          </reference>
          <reference field="2" count="1">
            <x v="6"/>
          </reference>
          <reference field="31" count="1" selected="0">
            <x v="18"/>
          </reference>
        </references>
      </pivotArea>
    </format>
    <format dxfId="89">
      <pivotArea dataOnly="0" labelOnly="1" fieldPosition="0">
        <references count="3">
          <reference field="1" count="1" selected="0">
            <x v="78"/>
          </reference>
          <reference field="2" count="1">
            <x v="7"/>
          </reference>
          <reference field="31" count="1" selected="0">
            <x v="1"/>
          </reference>
        </references>
      </pivotArea>
    </format>
    <format dxfId="88">
      <pivotArea dataOnly="0" labelOnly="1" fieldPosition="0">
        <references count="3">
          <reference field="1" count="1" selected="0">
            <x v="79"/>
          </reference>
          <reference field="2" count="1">
            <x v="4"/>
          </reference>
          <reference field="31" count="1" selected="0">
            <x v="13"/>
          </reference>
        </references>
      </pivotArea>
    </format>
    <format dxfId="87">
      <pivotArea dataOnly="0" labelOnly="1" fieldPosition="0">
        <references count="4">
          <reference field="1" count="1" selected="0">
            <x v="2"/>
          </reference>
          <reference field="2" count="1" selected="0">
            <x v="1"/>
          </reference>
          <reference field="8" count="1">
            <x v="4"/>
          </reference>
          <reference field="31" count="1" selected="0">
            <x v="13"/>
          </reference>
        </references>
      </pivotArea>
    </format>
    <format dxfId="86">
      <pivotArea dataOnly="0" labelOnly="1" fieldPosition="0">
        <references count="4">
          <reference field="1" count="1" selected="0">
            <x v="3"/>
          </reference>
          <reference field="2" count="1" selected="0">
            <x v="6"/>
          </reference>
          <reference field="8" count="1">
            <x v="4"/>
          </reference>
          <reference field="31" count="1" selected="0">
            <x v="1"/>
          </reference>
        </references>
      </pivotArea>
    </format>
    <format dxfId="85">
      <pivotArea dataOnly="0" labelOnly="1" fieldPosition="0">
        <references count="4">
          <reference field="1" count="1" selected="0">
            <x v="4"/>
          </reference>
          <reference field="2" count="1" selected="0">
            <x v="6"/>
          </reference>
          <reference field="8" count="1">
            <x v="0"/>
          </reference>
          <reference field="31" count="1" selected="0">
            <x v="0"/>
          </reference>
        </references>
      </pivotArea>
    </format>
    <format dxfId="84">
      <pivotArea dataOnly="0" labelOnly="1" fieldPosition="0">
        <references count="4">
          <reference field="1" count="1" selected="0">
            <x v="5"/>
          </reference>
          <reference field="2" count="1" selected="0">
            <x v="2"/>
          </reference>
          <reference field="8" count="1">
            <x v="4"/>
          </reference>
          <reference field="31" count="1" selected="0">
            <x v="5"/>
          </reference>
        </references>
      </pivotArea>
    </format>
    <format dxfId="83">
      <pivotArea dataOnly="0" labelOnly="1" fieldPosition="0">
        <references count="4">
          <reference field="1" count="1" selected="0">
            <x v="6"/>
          </reference>
          <reference field="2" count="1" selected="0">
            <x v="5"/>
          </reference>
          <reference field="8" count="1">
            <x v="0"/>
          </reference>
          <reference field="31" count="1" selected="0">
            <x v="16"/>
          </reference>
        </references>
      </pivotArea>
    </format>
    <format dxfId="82">
      <pivotArea dataOnly="0" labelOnly="1" fieldPosition="0">
        <references count="4">
          <reference field="1" count="1" selected="0">
            <x v="7"/>
          </reference>
          <reference field="2" count="1" selected="0">
            <x v="3"/>
          </reference>
          <reference field="8" count="1">
            <x v="1"/>
          </reference>
          <reference field="31" count="1" selected="0">
            <x v="15"/>
          </reference>
        </references>
      </pivotArea>
    </format>
    <format dxfId="81">
      <pivotArea dataOnly="0" labelOnly="1" fieldPosition="0">
        <references count="4">
          <reference field="1" count="1" selected="0">
            <x v="8"/>
          </reference>
          <reference field="2" count="1" selected="0">
            <x v="7"/>
          </reference>
          <reference field="8" count="1">
            <x v="1"/>
          </reference>
          <reference field="31" count="1" selected="0">
            <x v="8"/>
          </reference>
        </references>
      </pivotArea>
    </format>
    <format dxfId="80">
      <pivotArea dataOnly="0" labelOnly="1" fieldPosition="0">
        <references count="4">
          <reference field="1" count="1" selected="0">
            <x v="9"/>
          </reference>
          <reference field="2" count="1" selected="0">
            <x v="7"/>
          </reference>
          <reference field="8" count="1">
            <x v="1"/>
          </reference>
          <reference field="31" count="1" selected="0">
            <x v="6"/>
          </reference>
        </references>
      </pivotArea>
    </format>
    <format dxfId="79">
      <pivotArea dataOnly="0" labelOnly="1" fieldPosition="0">
        <references count="4">
          <reference field="1" count="1" selected="0">
            <x v="10"/>
          </reference>
          <reference field="2" count="1" selected="0">
            <x v="1"/>
          </reference>
          <reference field="8" count="1">
            <x v="3"/>
          </reference>
          <reference field="31" count="1" selected="0">
            <x v="13"/>
          </reference>
        </references>
      </pivotArea>
    </format>
    <format dxfId="78">
      <pivotArea dataOnly="0" labelOnly="1" fieldPosition="0">
        <references count="4">
          <reference field="1" count="1" selected="0">
            <x v="11"/>
          </reference>
          <reference field="2" count="1" selected="0">
            <x v="3"/>
          </reference>
          <reference field="8" count="1">
            <x v="3"/>
          </reference>
          <reference field="31" count="1" selected="0">
            <x v="12"/>
          </reference>
        </references>
      </pivotArea>
    </format>
    <format dxfId="77">
      <pivotArea dataOnly="0" labelOnly="1" fieldPosition="0">
        <references count="4">
          <reference field="1" count="1" selected="0">
            <x v="12"/>
          </reference>
          <reference field="2" count="1" selected="0">
            <x v="1"/>
          </reference>
          <reference field="8" count="1">
            <x v="1"/>
          </reference>
          <reference field="31" count="1" selected="0">
            <x v="6"/>
          </reference>
        </references>
      </pivotArea>
    </format>
    <format dxfId="76">
      <pivotArea dataOnly="0" labelOnly="1" fieldPosition="0">
        <references count="4">
          <reference field="1" count="1" selected="0">
            <x v="13"/>
          </reference>
          <reference field="2" count="1" selected="0">
            <x v="7"/>
          </reference>
          <reference field="8" count="1">
            <x v="1"/>
          </reference>
          <reference field="31" count="1" selected="0">
            <x v="13"/>
          </reference>
        </references>
      </pivotArea>
    </format>
    <format dxfId="75">
      <pivotArea dataOnly="0" labelOnly="1" fieldPosition="0">
        <references count="4">
          <reference field="1" count="1" selected="0">
            <x v="14"/>
          </reference>
          <reference field="2" count="1" selected="0">
            <x v="7"/>
          </reference>
          <reference field="8" count="1">
            <x v="1"/>
          </reference>
          <reference field="31" count="1" selected="0">
            <x v="11"/>
          </reference>
        </references>
      </pivotArea>
    </format>
    <format dxfId="74">
      <pivotArea dataOnly="0" labelOnly="1" fieldPosition="0">
        <references count="4">
          <reference field="1" count="1" selected="0">
            <x v="15"/>
          </reference>
          <reference field="2" count="1" selected="0">
            <x v="4"/>
          </reference>
          <reference field="8" count="1">
            <x v="4"/>
          </reference>
          <reference field="31" count="1" selected="0">
            <x v="2"/>
          </reference>
        </references>
      </pivotArea>
    </format>
    <format dxfId="73">
      <pivotArea dataOnly="0" labelOnly="1" fieldPosition="0">
        <references count="4">
          <reference field="1" count="1" selected="0">
            <x v="16"/>
          </reference>
          <reference field="2" count="1" selected="0">
            <x v="5"/>
          </reference>
          <reference field="8" count="1">
            <x v="4"/>
          </reference>
          <reference field="31" count="1" selected="0">
            <x v="17"/>
          </reference>
        </references>
      </pivotArea>
    </format>
    <format dxfId="72">
      <pivotArea dataOnly="0" labelOnly="1" fieldPosition="0">
        <references count="4">
          <reference field="1" count="1" selected="0">
            <x v="17"/>
          </reference>
          <reference field="2" count="1" selected="0">
            <x v="1"/>
          </reference>
          <reference field="8" count="1">
            <x v="0"/>
          </reference>
          <reference field="31" count="1" selected="0">
            <x v="5"/>
          </reference>
        </references>
      </pivotArea>
    </format>
    <format dxfId="71">
      <pivotArea dataOnly="0" labelOnly="1" fieldPosition="0">
        <references count="4">
          <reference field="1" count="1" selected="0">
            <x v="18"/>
          </reference>
          <reference field="2" count="1" selected="0">
            <x v="1"/>
          </reference>
          <reference field="8" count="1">
            <x v="3"/>
          </reference>
          <reference field="31" count="1" selected="0">
            <x v="8"/>
          </reference>
        </references>
      </pivotArea>
    </format>
    <format dxfId="70">
      <pivotArea dataOnly="0" labelOnly="1" fieldPosition="0">
        <references count="4">
          <reference field="1" count="1" selected="0">
            <x v="19"/>
          </reference>
          <reference field="2" count="1" selected="0">
            <x v="1"/>
          </reference>
          <reference field="8" count="1">
            <x v="2"/>
          </reference>
          <reference field="31" count="1" selected="0">
            <x v="13"/>
          </reference>
        </references>
      </pivotArea>
    </format>
    <format dxfId="69">
      <pivotArea dataOnly="0" labelOnly="1" fieldPosition="0">
        <references count="4">
          <reference field="1" count="1" selected="0">
            <x v="20"/>
          </reference>
          <reference field="2" count="1" selected="0">
            <x v="3"/>
          </reference>
          <reference field="8" count="1">
            <x v="2"/>
          </reference>
          <reference field="31" count="1" selected="0">
            <x v="7"/>
          </reference>
        </references>
      </pivotArea>
    </format>
    <format dxfId="68">
      <pivotArea dataOnly="0" labelOnly="1" fieldPosition="0">
        <references count="4">
          <reference field="1" count="1" selected="0">
            <x v="21"/>
          </reference>
          <reference field="2" count="1" selected="0">
            <x v="6"/>
          </reference>
          <reference field="8" count="1">
            <x v="0"/>
          </reference>
          <reference field="31" count="1" selected="0">
            <x v="6"/>
          </reference>
        </references>
      </pivotArea>
    </format>
    <format dxfId="67">
      <pivotArea dataOnly="0" labelOnly="1" fieldPosition="0">
        <references count="4">
          <reference field="1" count="1" selected="0">
            <x v="22"/>
          </reference>
          <reference field="2" count="1" selected="0">
            <x v="3"/>
          </reference>
          <reference field="8" count="1">
            <x v="4"/>
          </reference>
          <reference field="31" count="1" selected="0">
            <x v="3"/>
          </reference>
        </references>
      </pivotArea>
    </format>
    <format dxfId="66">
      <pivotArea dataOnly="0" labelOnly="1" fieldPosition="0">
        <references count="4">
          <reference field="1" count="1" selected="0">
            <x v="23"/>
          </reference>
          <reference field="2" count="1" selected="0">
            <x v="7"/>
          </reference>
          <reference field="8" count="1">
            <x v="0"/>
          </reference>
          <reference field="31" count="1" selected="0">
            <x v="17"/>
          </reference>
        </references>
      </pivotArea>
    </format>
    <format dxfId="65">
      <pivotArea dataOnly="0" labelOnly="1" fieldPosition="0">
        <references count="4">
          <reference field="1" count="1" selected="0">
            <x v="24"/>
          </reference>
          <reference field="2" count="1" selected="0">
            <x v="0"/>
          </reference>
          <reference field="8" count="1">
            <x v="0"/>
          </reference>
          <reference field="31" count="1" selected="0">
            <x v="19"/>
          </reference>
        </references>
      </pivotArea>
    </format>
    <format dxfId="64">
      <pivotArea dataOnly="0" labelOnly="1" fieldPosition="0">
        <references count="4">
          <reference field="1" count="1" selected="0">
            <x v="25"/>
          </reference>
          <reference field="2" count="1" selected="0">
            <x v="4"/>
          </reference>
          <reference field="8" count="1">
            <x v="0"/>
          </reference>
          <reference field="31" count="1" selected="0">
            <x v="16"/>
          </reference>
        </references>
      </pivotArea>
    </format>
    <format dxfId="63">
      <pivotArea dataOnly="0" labelOnly="1" fieldPosition="0">
        <references count="4">
          <reference field="1" count="1" selected="0">
            <x v="26"/>
          </reference>
          <reference field="2" count="1" selected="0">
            <x v="6"/>
          </reference>
          <reference field="8" count="1">
            <x v="1"/>
          </reference>
          <reference field="31" count="1" selected="0">
            <x v="12"/>
          </reference>
        </references>
      </pivotArea>
    </format>
    <format dxfId="62">
      <pivotArea dataOnly="0" labelOnly="1" fieldPosition="0">
        <references count="4">
          <reference field="1" count="1" selected="0">
            <x v="27"/>
          </reference>
          <reference field="2" count="1" selected="0">
            <x v="5"/>
          </reference>
          <reference field="8" count="1">
            <x v="0"/>
          </reference>
          <reference field="31" count="1" selected="0">
            <x v="7"/>
          </reference>
        </references>
      </pivotArea>
    </format>
    <format dxfId="61">
      <pivotArea dataOnly="0" labelOnly="1" fieldPosition="0">
        <references count="4">
          <reference field="1" count="1" selected="0">
            <x v="28"/>
          </reference>
          <reference field="2" count="1" selected="0">
            <x v="2"/>
          </reference>
          <reference field="8" count="1">
            <x v="3"/>
          </reference>
          <reference field="31" count="1" selected="0">
            <x v="13"/>
          </reference>
        </references>
      </pivotArea>
    </format>
    <format dxfId="60">
      <pivotArea dataOnly="0" labelOnly="1" fieldPosition="0">
        <references count="4">
          <reference field="1" count="1" selected="0">
            <x v="29"/>
          </reference>
          <reference field="2" count="1" selected="0">
            <x v="4"/>
          </reference>
          <reference field="8" count="1">
            <x v="4"/>
          </reference>
          <reference field="31" count="1" selected="0">
            <x v="1"/>
          </reference>
        </references>
      </pivotArea>
    </format>
    <format dxfId="59">
      <pivotArea dataOnly="0" labelOnly="1" fieldPosition="0">
        <references count="4">
          <reference field="1" count="1" selected="0">
            <x v="30"/>
          </reference>
          <reference field="2" count="1" selected="0">
            <x v="3"/>
          </reference>
          <reference field="8" count="1">
            <x v="0"/>
          </reference>
          <reference field="31" count="1" selected="0">
            <x v="12"/>
          </reference>
        </references>
      </pivotArea>
    </format>
    <format dxfId="58">
      <pivotArea dataOnly="0" labelOnly="1" fieldPosition="0">
        <references count="4">
          <reference field="1" count="1" selected="0">
            <x v="31"/>
          </reference>
          <reference field="2" count="1" selected="0">
            <x v="0"/>
          </reference>
          <reference field="8" count="1">
            <x v="3"/>
          </reference>
          <reference field="31" count="1" selected="0">
            <x v="5"/>
          </reference>
        </references>
      </pivotArea>
    </format>
    <format dxfId="57">
      <pivotArea dataOnly="0" labelOnly="1" fieldPosition="0">
        <references count="4">
          <reference field="1" count="1" selected="0">
            <x v="32"/>
          </reference>
          <reference field="2" count="1" selected="0">
            <x v="6"/>
          </reference>
          <reference field="8" count="1">
            <x v="4"/>
          </reference>
          <reference field="31" count="1" selected="0">
            <x v="11"/>
          </reference>
        </references>
      </pivotArea>
    </format>
    <format dxfId="56">
      <pivotArea dataOnly="0" labelOnly="1" fieldPosition="0">
        <references count="4">
          <reference field="1" count="1" selected="0">
            <x v="33"/>
          </reference>
          <reference field="2" count="1" selected="0">
            <x v="1"/>
          </reference>
          <reference field="8" count="1">
            <x v="0"/>
          </reference>
          <reference field="31" count="1" selected="0">
            <x v="17"/>
          </reference>
        </references>
      </pivotArea>
    </format>
    <format dxfId="55">
      <pivotArea dataOnly="0" labelOnly="1" fieldPosition="0">
        <references count="4">
          <reference field="1" count="1" selected="0">
            <x v="34"/>
          </reference>
          <reference field="2" count="1" selected="0">
            <x v="2"/>
          </reference>
          <reference field="8" count="1">
            <x v="0"/>
          </reference>
          <reference field="31" count="1" selected="0">
            <x v="3"/>
          </reference>
        </references>
      </pivotArea>
    </format>
    <format dxfId="54">
      <pivotArea dataOnly="0" labelOnly="1" fieldPosition="0">
        <references count="4">
          <reference field="1" count="1" selected="0">
            <x v="35"/>
          </reference>
          <reference field="2" count="1" selected="0">
            <x v="1"/>
          </reference>
          <reference field="8" count="1">
            <x v="4"/>
          </reference>
          <reference field="31" count="1" selected="0">
            <x v="14"/>
          </reference>
        </references>
      </pivotArea>
    </format>
    <format dxfId="53">
      <pivotArea dataOnly="0" labelOnly="1" fieldPosition="0">
        <references count="4">
          <reference field="1" count="1" selected="0">
            <x v="36"/>
          </reference>
          <reference field="2" count="1" selected="0">
            <x v="1"/>
          </reference>
          <reference field="8" count="1">
            <x v="4"/>
          </reference>
          <reference field="31" count="1" selected="0">
            <x v="1"/>
          </reference>
        </references>
      </pivotArea>
    </format>
    <format dxfId="52">
      <pivotArea dataOnly="0" labelOnly="1" fieldPosition="0">
        <references count="4">
          <reference field="1" count="1" selected="0">
            <x v="37"/>
          </reference>
          <reference field="2" count="1" selected="0">
            <x v="7"/>
          </reference>
          <reference field="8" count="1">
            <x v="2"/>
          </reference>
          <reference field="31" count="1" selected="0">
            <x v="17"/>
          </reference>
        </references>
      </pivotArea>
    </format>
    <format dxfId="51">
      <pivotArea dataOnly="0" labelOnly="1" fieldPosition="0">
        <references count="4">
          <reference field="1" count="1" selected="0">
            <x v="38"/>
          </reference>
          <reference field="2" count="1" selected="0">
            <x v="5"/>
          </reference>
          <reference field="8" count="1">
            <x v="0"/>
          </reference>
          <reference field="31" count="1" selected="0">
            <x v="13"/>
          </reference>
        </references>
      </pivotArea>
    </format>
    <format dxfId="50">
      <pivotArea dataOnly="0" labelOnly="1" fieldPosition="0">
        <references count="4">
          <reference field="1" count="1" selected="0">
            <x v="39"/>
          </reference>
          <reference field="2" count="1" selected="0">
            <x v="6"/>
          </reference>
          <reference field="8" count="1">
            <x v="0"/>
          </reference>
          <reference field="31" count="1" selected="0">
            <x v="13"/>
          </reference>
        </references>
      </pivotArea>
    </format>
    <format dxfId="49">
      <pivotArea dataOnly="0" labelOnly="1" fieldPosition="0">
        <references count="4">
          <reference field="1" count="1" selected="0">
            <x v="40"/>
          </reference>
          <reference field="2" count="1" selected="0">
            <x v="7"/>
          </reference>
          <reference field="8" count="1">
            <x v="4"/>
          </reference>
          <reference field="31" count="1" selected="0">
            <x v="1"/>
          </reference>
        </references>
      </pivotArea>
    </format>
    <format dxfId="48">
      <pivotArea dataOnly="0" labelOnly="1" fieldPosition="0">
        <references count="4">
          <reference field="1" count="1" selected="0">
            <x v="41"/>
          </reference>
          <reference field="2" count="1" selected="0">
            <x v="5"/>
          </reference>
          <reference field="8" count="1">
            <x v="2"/>
          </reference>
          <reference field="31" count="1" selected="0">
            <x v="17"/>
          </reference>
        </references>
      </pivotArea>
    </format>
    <format dxfId="47">
      <pivotArea dataOnly="0" labelOnly="1" fieldPosition="0">
        <references count="4">
          <reference field="1" count="1" selected="0">
            <x v="42"/>
          </reference>
          <reference field="2" count="1" selected="0">
            <x v="4"/>
          </reference>
          <reference field="8" count="1">
            <x v="0"/>
          </reference>
          <reference field="31" count="1" selected="0">
            <x v="9"/>
          </reference>
        </references>
      </pivotArea>
    </format>
    <format dxfId="46">
      <pivotArea dataOnly="0" labelOnly="1" fieldPosition="0">
        <references count="4">
          <reference field="1" count="1" selected="0">
            <x v="43"/>
          </reference>
          <reference field="2" count="1" selected="0">
            <x v="5"/>
          </reference>
          <reference field="8" count="1">
            <x v="0"/>
          </reference>
          <reference field="31" count="1" selected="0">
            <x v="10"/>
          </reference>
        </references>
      </pivotArea>
    </format>
    <format dxfId="45">
      <pivotArea dataOnly="0" labelOnly="1" fieldPosition="0">
        <references count="4">
          <reference field="1" count="1" selected="0">
            <x v="44"/>
          </reference>
          <reference field="2" count="1" selected="0">
            <x v="7"/>
          </reference>
          <reference field="8" count="1">
            <x v="1"/>
          </reference>
          <reference field="31" count="1" selected="0">
            <x v="19"/>
          </reference>
        </references>
      </pivotArea>
    </format>
    <format dxfId="44">
      <pivotArea dataOnly="0" labelOnly="1" fieldPosition="0">
        <references count="4">
          <reference field="1" count="1" selected="0">
            <x v="45"/>
          </reference>
          <reference field="2" count="1" selected="0">
            <x v="2"/>
          </reference>
          <reference field="8" count="1">
            <x v="1"/>
          </reference>
          <reference field="31" count="1" selected="0">
            <x v="20"/>
          </reference>
        </references>
      </pivotArea>
    </format>
    <format dxfId="43">
      <pivotArea dataOnly="0" labelOnly="1" fieldPosition="0">
        <references count="4">
          <reference field="1" count="1" selected="0">
            <x v="46"/>
          </reference>
          <reference field="2" count="1" selected="0">
            <x v="3"/>
          </reference>
          <reference field="8" count="1">
            <x v="1"/>
          </reference>
          <reference field="31" count="1" selected="0">
            <x v="3"/>
          </reference>
        </references>
      </pivotArea>
    </format>
    <format dxfId="42">
      <pivotArea dataOnly="0" labelOnly="1" fieldPosition="0">
        <references count="4">
          <reference field="1" count="1" selected="0">
            <x v="47"/>
          </reference>
          <reference field="2" count="1" selected="0">
            <x v="0"/>
          </reference>
          <reference field="8" count="1">
            <x v="0"/>
          </reference>
          <reference field="31" count="1" selected="0">
            <x v="17"/>
          </reference>
        </references>
      </pivotArea>
    </format>
    <format dxfId="41">
      <pivotArea dataOnly="0" labelOnly="1" fieldPosition="0">
        <references count="4">
          <reference field="1" count="1" selected="0">
            <x v="48"/>
          </reference>
          <reference field="2" count="1" selected="0">
            <x v="5"/>
          </reference>
          <reference field="8" count="1">
            <x v="2"/>
          </reference>
          <reference field="31" count="1" selected="0">
            <x v="19"/>
          </reference>
        </references>
      </pivotArea>
    </format>
    <format dxfId="40">
      <pivotArea dataOnly="0" labelOnly="1" fieldPosition="0">
        <references count="4">
          <reference field="1" count="1" selected="0">
            <x v="49"/>
          </reference>
          <reference field="2" count="1" selected="0">
            <x v="1"/>
          </reference>
          <reference field="8" count="1">
            <x v="0"/>
          </reference>
          <reference field="31" count="1" selected="0">
            <x v="14"/>
          </reference>
        </references>
      </pivotArea>
    </format>
    <format dxfId="39">
      <pivotArea dataOnly="0" labelOnly="1" fieldPosition="0">
        <references count="4">
          <reference field="1" count="1" selected="0">
            <x v="50"/>
          </reference>
          <reference field="2" count="1" selected="0">
            <x v="7"/>
          </reference>
          <reference field="8" count="1">
            <x v="4"/>
          </reference>
          <reference field="31" count="1" selected="0">
            <x v="9"/>
          </reference>
        </references>
      </pivotArea>
    </format>
    <format dxfId="38">
      <pivotArea dataOnly="0" labelOnly="1" fieldPosition="0">
        <references count="4">
          <reference field="1" count="1" selected="0">
            <x v="51"/>
          </reference>
          <reference field="2" count="1" selected="0">
            <x v="0"/>
          </reference>
          <reference field="8" count="1">
            <x v="4"/>
          </reference>
          <reference field="31" count="1" selected="0">
            <x v="1"/>
          </reference>
        </references>
      </pivotArea>
    </format>
    <format dxfId="37">
      <pivotArea dataOnly="0" labelOnly="1" fieldPosition="0">
        <references count="4">
          <reference field="1" count="1" selected="0">
            <x v="52"/>
          </reference>
          <reference field="2" count="1" selected="0">
            <x v="6"/>
          </reference>
          <reference field="8" count="1">
            <x v="4"/>
          </reference>
          <reference field="31" count="1" selected="0">
            <x v="16"/>
          </reference>
        </references>
      </pivotArea>
    </format>
    <format dxfId="36">
      <pivotArea dataOnly="0" labelOnly="1" fieldPosition="0">
        <references count="4">
          <reference field="1" count="1" selected="0">
            <x v="53"/>
          </reference>
          <reference field="2" count="1" selected="0">
            <x v="4"/>
          </reference>
          <reference field="8" count="1">
            <x v="4"/>
          </reference>
          <reference field="31" count="1" selected="0">
            <x v="6"/>
          </reference>
        </references>
      </pivotArea>
    </format>
    <format dxfId="35">
      <pivotArea dataOnly="0" labelOnly="1" fieldPosition="0">
        <references count="4">
          <reference field="1" count="1" selected="0">
            <x v="54"/>
          </reference>
          <reference field="2" count="1" selected="0">
            <x v="3"/>
          </reference>
          <reference field="8" count="1">
            <x v="4"/>
          </reference>
          <reference field="31" count="1" selected="0">
            <x v="17"/>
          </reference>
        </references>
      </pivotArea>
    </format>
    <format dxfId="34">
      <pivotArea dataOnly="0" labelOnly="1" fieldPosition="0">
        <references count="4">
          <reference field="1" count="1" selected="0">
            <x v="55"/>
          </reference>
          <reference field="2" count="1" selected="0">
            <x v="5"/>
          </reference>
          <reference field="8" count="1">
            <x v="3"/>
          </reference>
          <reference field="31" count="1" selected="0">
            <x v="9"/>
          </reference>
        </references>
      </pivotArea>
    </format>
    <format dxfId="33">
      <pivotArea dataOnly="0" labelOnly="1" fieldPosition="0">
        <references count="4">
          <reference field="1" count="1" selected="0">
            <x v="56"/>
          </reference>
          <reference field="2" count="1" selected="0">
            <x v="4"/>
          </reference>
          <reference field="8" count="1">
            <x v="0"/>
          </reference>
          <reference field="31" count="1" selected="0">
            <x v="14"/>
          </reference>
        </references>
      </pivotArea>
    </format>
    <format dxfId="32">
      <pivotArea dataOnly="0" labelOnly="1" fieldPosition="0">
        <references count="4">
          <reference field="1" count="1" selected="0">
            <x v="57"/>
          </reference>
          <reference field="2" count="1" selected="0">
            <x v="0"/>
          </reference>
          <reference field="8" count="1">
            <x v="4"/>
          </reference>
          <reference field="31" count="1" selected="0">
            <x v="17"/>
          </reference>
        </references>
      </pivotArea>
    </format>
    <format dxfId="31">
      <pivotArea dataOnly="0" labelOnly="1" fieldPosition="0">
        <references count="4">
          <reference field="1" count="1" selected="0">
            <x v="58"/>
          </reference>
          <reference field="2" count="1" selected="0">
            <x v="6"/>
          </reference>
          <reference field="8" count="1">
            <x v="0"/>
          </reference>
          <reference field="31" count="1" selected="0">
            <x v="6"/>
          </reference>
        </references>
      </pivotArea>
    </format>
    <format dxfId="30">
      <pivotArea dataOnly="0" labelOnly="1" fieldPosition="0">
        <references count="4">
          <reference field="1" count="1" selected="0">
            <x v="59"/>
          </reference>
          <reference field="2" count="1" selected="0">
            <x v="7"/>
          </reference>
          <reference field="8" count="1">
            <x v="1"/>
          </reference>
          <reference field="31" count="1" selected="0">
            <x v="3"/>
          </reference>
        </references>
      </pivotArea>
    </format>
    <format dxfId="29">
      <pivotArea dataOnly="0" labelOnly="1" fieldPosition="0">
        <references count="4">
          <reference field="1" count="1" selected="0">
            <x v="60"/>
          </reference>
          <reference field="2" count="1" selected="0">
            <x v="1"/>
          </reference>
          <reference field="8" count="1">
            <x v="2"/>
          </reference>
          <reference field="31" count="1" selected="0">
            <x v="14"/>
          </reference>
        </references>
      </pivotArea>
    </format>
    <format dxfId="28">
      <pivotArea dataOnly="0" labelOnly="1" fieldPosition="0">
        <references count="4">
          <reference field="1" count="1" selected="0">
            <x v="61"/>
          </reference>
          <reference field="2" count="1" selected="0">
            <x v="3"/>
          </reference>
          <reference field="8" count="1">
            <x v="0"/>
          </reference>
          <reference field="31" count="1" selected="0">
            <x v="17"/>
          </reference>
        </references>
      </pivotArea>
    </format>
    <format dxfId="27">
      <pivotArea dataOnly="0" labelOnly="1" fieldPosition="0">
        <references count="4">
          <reference field="1" count="1" selected="0">
            <x v="62"/>
          </reference>
          <reference field="2" count="1" selected="0">
            <x v="4"/>
          </reference>
          <reference field="8" count="1">
            <x v="0"/>
          </reference>
          <reference field="31" count="1" selected="0">
            <x v="3"/>
          </reference>
        </references>
      </pivotArea>
    </format>
    <format dxfId="26">
      <pivotArea dataOnly="0" labelOnly="1" fieldPosition="0">
        <references count="4">
          <reference field="1" count="1" selected="0">
            <x v="63"/>
          </reference>
          <reference field="2" count="1" selected="0">
            <x v="1"/>
          </reference>
          <reference field="8" count="1">
            <x v="3"/>
          </reference>
          <reference field="31" count="1" selected="0">
            <x v="10"/>
          </reference>
        </references>
      </pivotArea>
    </format>
    <format dxfId="25">
      <pivotArea dataOnly="0" labelOnly="1" fieldPosition="0">
        <references count="4">
          <reference field="1" count="1" selected="0">
            <x v="64"/>
          </reference>
          <reference field="2" count="1" selected="0">
            <x v="1"/>
          </reference>
          <reference field="8" count="1">
            <x v="4"/>
          </reference>
          <reference field="31" count="1" selected="0">
            <x v="13"/>
          </reference>
        </references>
      </pivotArea>
    </format>
    <format dxfId="24">
      <pivotArea dataOnly="0" labelOnly="1" fieldPosition="0">
        <references count="4">
          <reference field="1" count="1" selected="0">
            <x v="65"/>
          </reference>
          <reference field="2" count="1" selected="0">
            <x v="6"/>
          </reference>
          <reference field="8" count="1">
            <x v="0"/>
          </reference>
          <reference field="31" count="1" selected="0">
            <x v="17"/>
          </reference>
        </references>
      </pivotArea>
    </format>
    <format dxfId="23">
      <pivotArea dataOnly="0" labelOnly="1" fieldPosition="0">
        <references count="4">
          <reference field="1" count="1" selected="0">
            <x v="66"/>
          </reference>
          <reference field="2" count="1" selected="0">
            <x v="7"/>
          </reference>
          <reference field="8" count="1">
            <x v="4"/>
          </reference>
          <reference field="31" count="1" selected="0">
            <x v="19"/>
          </reference>
        </references>
      </pivotArea>
    </format>
    <format dxfId="22">
      <pivotArea dataOnly="0" labelOnly="1" fieldPosition="0">
        <references count="4">
          <reference field="1" count="1" selected="0">
            <x v="67"/>
          </reference>
          <reference field="2" count="1" selected="0">
            <x v="0"/>
          </reference>
          <reference field="8" count="1">
            <x v="4"/>
          </reference>
          <reference field="31" count="1" selected="0">
            <x v="15"/>
          </reference>
        </references>
      </pivotArea>
    </format>
    <format dxfId="21">
      <pivotArea dataOnly="0" labelOnly="1" fieldPosition="0">
        <references count="4">
          <reference field="1" count="1" selected="0">
            <x v="68"/>
          </reference>
          <reference field="2" count="1" selected="0">
            <x v="7"/>
          </reference>
          <reference field="8" count="1">
            <x v="4"/>
          </reference>
          <reference field="31" count="1" selected="0">
            <x v="7"/>
          </reference>
        </references>
      </pivotArea>
    </format>
    <format dxfId="20">
      <pivotArea dataOnly="0" labelOnly="1" fieldPosition="0">
        <references count="4">
          <reference field="1" count="1" selected="0">
            <x v="69"/>
          </reference>
          <reference field="2" count="1" selected="0">
            <x v="4"/>
          </reference>
          <reference field="8" count="1">
            <x v="3"/>
          </reference>
          <reference field="31" count="1" selected="0">
            <x v="1"/>
          </reference>
        </references>
      </pivotArea>
    </format>
    <format dxfId="19">
      <pivotArea dataOnly="0" labelOnly="1" fieldPosition="0">
        <references count="4">
          <reference field="1" count="1" selected="0">
            <x v="70"/>
          </reference>
          <reference field="2" count="1" selected="0">
            <x v="4"/>
          </reference>
          <reference field="8" count="1">
            <x v="3"/>
          </reference>
          <reference field="31" count="1" selected="0">
            <x v="12"/>
          </reference>
        </references>
      </pivotArea>
    </format>
    <format dxfId="18">
      <pivotArea dataOnly="0" labelOnly="1" fieldPosition="0">
        <references count="4">
          <reference field="1" count="1" selected="0">
            <x v="71"/>
          </reference>
          <reference field="2" count="1" selected="0">
            <x v="3"/>
          </reference>
          <reference field="8" count="1">
            <x v="1"/>
          </reference>
          <reference field="31" count="1" selected="0">
            <x v="17"/>
          </reference>
        </references>
      </pivotArea>
    </format>
    <format dxfId="17">
      <pivotArea dataOnly="0" labelOnly="1" fieldPosition="0">
        <references count="4">
          <reference field="1" count="1" selected="0">
            <x v="72"/>
          </reference>
          <reference field="2" count="1" selected="0">
            <x v="4"/>
          </reference>
          <reference field="8" count="1">
            <x v="3"/>
          </reference>
          <reference field="31" count="1" selected="0">
            <x v="15"/>
          </reference>
        </references>
      </pivotArea>
    </format>
    <format dxfId="16">
      <pivotArea dataOnly="0" labelOnly="1" fieldPosition="0">
        <references count="4">
          <reference field="1" count="1" selected="0">
            <x v="73"/>
          </reference>
          <reference field="2" count="1" selected="0">
            <x v="5"/>
          </reference>
          <reference field="8" count="1">
            <x v="4"/>
          </reference>
          <reference field="31" count="1" selected="0">
            <x v="5"/>
          </reference>
        </references>
      </pivotArea>
    </format>
    <format dxfId="15">
      <pivotArea dataOnly="0" labelOnly="1" fieldPosition="0">
        <references count="4">
          <reference field="1" count="1" selected="0">
            <x v="74"/>
          </reference>
          <reference field="2" count="1" selected="0">
            <x v="1"/>
          </reference>
          <reference field="8" count="1">
            <x v="1"/>
          </reference>
          <reference field="31" count="1" selected="0">
            <x v="4"/>
          </reference>
        </references>
      </pivotArea>
    </format>
    <format dxfId="14">
      <pivotArea dataOnly="0" labelOnly="1" fieldPosition="0">
        <references count="4">
          <reference field="1" count="1" selected="0">
            <x v="75"/>
          </reference>
          <reference field="2" count="1" selected="0">
            <x v="2"/>
          </reference>
          <reference field="8" count="1">
            <x v="4"/>
          </reference>
          <reference field="31" count="1" selected="0">
            <x v="1"/>
          </reference>
        </references>
      </pivotArea>
    </format>
    <format dxfId="13">
      <pivotArea dataOnly="0" labelOnly="1" fieldPosition="0">
        <references count="4">
          <reference field="1" count="1" selected="0">
            <x v="76"/>
          </reference>
          <reference field="2" count="1" selected="0">
            <x v="1"/>
          </reference>
          <reference field="8" count="1">
            <x v="4"/>
          </reference>
          <reference field="31" count="1" selected="0">
            <x v="17"/>
          </reference>
        </references>
      </pivotArea>
    </format>
    <format dxfId="12">
      <pivotArea dataOnly="0" labelOnly="1" fieldPosition="0">
        <references count="4">
          <reference field="1" count="1" selected="0">
            <x v="77"/>
          </reference>
          <reference field="2" count="1" selected="0">
            <x v="6"/>
          </reference>
          <reference field="8" count="1">
            <x v="3"/>
          </reference>
          <reference field="31" count="1" selected="0">
            <x v="18"/>
          </reference>
        </references>
      </pivotArea>
    </format>
    <format dxfId="11">
      <pivotArea dataOnly="0" labelOnly="1" fieldPosition="0">
        <references count="4">
          <reference field="1" count="1" selected="0">
            <x v="78"/>
          </reference>
          <reference field="2" count="1" selected="0">
            <x v="7"/>
          </reference>
          <reference field="8" count="1">
            <x v="3"/>
          </reference>
          <reference field="31" count="1" selected="0">
            <x v="1"/>
          </reference>
        </references>
      </pivotArea>
    </format>
    <format dxfId="10">
      <pivotArea dataOnly="0" labelOnly="1" fieldPosition="0">
        <references count="4">
          <reference field="1" count="1" selected="0">
            <x v="79"/>
          </reference>
          <reference field="2" count="1" selected="0">
            <x v="4"/>
          </reference>
          <reference field="8" count="1">
            <x v="0"/>
          </reference>
          <reference field="31" count="1" selected="0">
            <x v="13"/>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5775EC-FCA3-424C-B081-60D70CC4FDAB}" name="vendorPT" cacheId="0"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outline="1" outlineData="1" multipleFieldFilters="0" chartFormat="1">
  <location ref="M3:N11" firstHeaderRow="1" firstDataRow="1" firstDataCol="1"/>
  <pivotFields count="33">
    <pivotField showAll="0"/>
    <pivotField showAll="0"/>
    <pivotField axis="axisRow" showAll="0" sortType="descending">
      <items count="9">
        <item x="7"/>
        <item x="0"/>
        <item x="2"/>
        <item x="4"/>
        <item x="6"/>
        <item x="3"/>
        <item x="1"/>
        <item x="5"/>
        <item t="default"/>
      </items>
      <autoSortScope>
        <pivotArea dataOnly="0" outline="0" fieldPosition="0">
          <references count="1">
            <reference field="4294967294" count="1" selected="0">
              <x v="0"/>
            </reference>
          </references>
        </pivotArea>
      </autoSortScope>
    </pivotField>
    <pivotField showAll="0"/>
    <pivotField showAll="0">
      <items count="22">
        <item x="2"/>
        <item x="1"/>
        <item x="10"/>
        <item x="13"/>
        <item x="19"/>
        <item x="3"/>
        <item x="7"/>
        <item x="6"/>
        <item x="12"/>
        <item x="16"/>
        <item x="17"/>
        <item x="9"/>
        <item x="15"/>
        <item x="8"/>
        <item x="0"/>
        <item x="5"/>
        <item x="4"/>
        <item x="11"/>
        <item x="20"/>
        <item x="14"/>
        <item x="18"/>
        <item t="default"/>
      </items>
    </pivotField>
    <pivotField showAll="0"/>
    <pivotField showAll="0">
      <items count="6">
        <item x="2"/>
        <item x="0"/>
        <item x="1"/>
        <item x="4"/>
        <item x="3"/>
        <item t="default"/>
      </items>
    </pivotField>
    <pivotField showAll="0">
      <items count="3">
        <item x="1"/>
        <item x="0"/>
        <item t="default"/>
      </items>
    </pivotField>
    <pivotField showAll="0">
      <items count="6">
        <item x="1"/>
        <item x="2"/>
        <item x="4"/>
        <item x="3"/>
        <item x="0"/>
        <item t="default"/>
      </items>
    </pivotField>
    <pivotField showAll="0"/>
    <pivotField numFmtId="164" showAll="0"/>
    <pivotField showAll="0"/>
    <pivotField showAll="0"/>
    <pivotField numFmtId="164" showAll="0"/>
    <pivotField numFmtId="164" showAll="0"/>
    <pivotField numFmtId="164" showAll="0"/>
    <pivotField numFmtId="164" showAll="0"/>
    <pivotField showAll="0"/>
    <pivotField showAll="0"/>
    <pivotField showAll="0"/>
    <pivotField showAll="0"/>
    <pivotField showAll="0"/>
    <pivotField showAll="0">
      <items count="5">
        <item x="2"/>
        <item x="1"/>
        <item x="3"/>
        <item x="0"/>
        <item t="default"/>
      </items>
    </pivotField>
    <pivotField showAll="0"/>
    <pivotField showAll="0"/>
    <pivotField showAll="0"/>
    <pivotField showAll="0"/>
    <pivotField showAll="0"/>
    <pivotField showAll="0"/>
    <pivotField dataField="1" showAll="0"/>
    <pivotField showAll="0"/>
    <pivotField showAll="0"/>
    <pivotField showAll="0"/>
  </pivotFields>
  <rowFields count="1">
    <field x="2"/>
  </rowFields>
  <rowItems count="8">
    <i>
      <x v="1"/>
    </i>
    <i>
      <x v="3"/>
    </i>
    <i>
      <x v="6"/>
    </i>
    <i>
      <x v="4"/>
    </i>
    <i>
      <x v="2"/>
    </i>
    <i>
      <x v="7"/>
    </i>
    <i>
      <x v="5"/>
    </i>
    <i>
      <x/>
    </i>
  </rowItems>
  <colItems count="1">
    <i/>
  </colItems>
  <dataFields count="1">
    <dataField name="Sum of ExpiringSoonFlag" fld="29"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77E2315-CED1-4C94-B895-49ECBCC7B325}" name="tenurePT" cacheId="0"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outline="1" outlineData="1" multipleFieldFilters="0" chartFormat="1">
  <location ref="AB3:AC7" firstHeaderRow="1" firstDataRow="1" firstDataCol="1"/>
  <pivotFields count="33">
    <pivotField showAll="0"/>
    <pivotField dataField="1" showAll="0"/>
    <pivotField showAll="0">
      <items count="9">
        <item x="7"/>
        <item x="0"/>
        <item x="2"/>
        <item x="4"/>
        <item x="6"/>
        <item x="3"/>
        <item x="1"/>
        <item x="5"/>
        <item t="default"/>
      </items>
    </pivotField>
    <pivotField showAll="0"/>
    <pivotField showAll="0">
      <items count="22">
        <item x="2"/>
        <item x="1"/>
        <item x="10"/>
        <item x="13"/>
        <item x="19"/>
        <item x="3"/>
        <item x="7"/>
        <item x="6"/>
        <item x="12"/>
        <item x="16"/>
        <item x="17"/>
        <item x="9"/>
        <item x="15"/>
        <item x="8"/>
        <item x="0"/>
        <item x="5"/>
        <item x="4"/>
        <item x="11"/>
        <item x="20"/>
        <item x="14"/>
        <item x="18"/>
        <item t="default"/>
      </items>
    </pivotField>
    <pivotField showAll="0"/>
    <pivotField showAll="0">
      <items count="6">
        <item x="2"/>
        <item x="0"/>
        <item x="1"/>
        <item x="4"/>
        <item x="3"/>
        <item t="default"/>
      </items>
    </pivotField>
    <pivotField showAll="0">
      <items count="3">
        <item x="1"/>
        <item x="0"/>
        <item t="default"/>
      </items>
    </pivotField>
    <pivotField showAll="0">
      <items count="6">
        <item x="1"/>
        <item x="2"/>
        <item x="4"/>
        <item x="3"/>
        <item x="0"/>
        <item t="default"/>
      </items>
    </pivotField>
    <pivotField showAll="0"/>
    <pivotField numFmtId="164" showAll="0"/>
    <pivotField showAll="0"/>
    <pivotField showAll="0"/>
    <pivotField numFmtId="164" showAll="0"/>
    <pivotField numFmtId="164" showAll="0"/>
    <pivotField numFmtId="164" showAll="0"/>
    <pivotField numFmtId="164" showAll="0"/>
    <pivotField showAll="0"/>
    <pivotField showAll="0"/>
    <pivotField showAll="0"/>
    <pivotField showAll="0"/>
    <pivotField showAll="0"/>
    <pivotField axis="axisRow" showAll="0">
      <items count="5">
        <item x="2"/>
        <item x="3"/>
        <item x="0"/>
        <item x="1"/>
        <item t="default"/>
      </items>
    </pivotField>
    <pivotField showAll="0"/>
    <pivotField showAll="0"/>
    <pivotField showAll="0"/>
    <pivotField showAll="0"/>
    <pivotField showAll="0"/>
    <pivotField showAll="0"/>
    <pivotField showAll="0"/>
    <pivotField showAll="0"/>
    <pivotField showAll="0"/>
    <pivotField showAll="0"/>
  </pivotFields>
  <rowFields count="1">
    <field x="22"/>
  </rowFields>
  <rowItems count="4">
    <i>
      <x/>
    </i>
    <i>
      <x v="1"/>
    </i>
    <i>
      <x v="2"/>
    </i>
    <i>
      <x v="3"/>
    </i>
  </rowItems>
  <colItems count="1">
    <i/>
  </colItems>
  <dataFields count="1">
    <dataField name="Count of Name"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B100816-4DD8-4F9D-AE90-113D7CDB983E}" name="modifierPT"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AK3:AK4" firstHeaderRow="1" firstDataRow="1" firstDataCol="0"/>
  <pivotFields count="33">
    <pivotField showAll="0"/>
    <pivotField showAll="0"/>
    <pivotField showAll="0">
      <items count="9">
        <item x="7"/>
        <item x="0"/>
        <item x="2"/>
        <item x="4"/>
        <item x="6"/>
        <item x="3"/>
        <item x="1"/>
        <item x="5"/>
        <item t="default"/>
      </items>
    </pivotField>
    <pivotField showAll="0"/>
    <pivotField showAll="0">
      <items count="22">
        <item x="2"/>
        <item x="1"/>
        <item x="10"/>
        <item x="13"/>
        <item x="19"/>
        <item x="3"/>
        <item x="7"/>
        <item x="6"/>
        <item x="12"/>
        <item x="16"/>
        <item x="17"/>
        <item x="9"/>
        <item x="15"/>
        <item x="8"/>
        <item x="0"/>
        <item x="5"/>
        <item x="4"/>
        <item x="11"/>
        <item x="20"/>
        <item x="14"/>
        <item x="18"/>
        <item t="default"/>
      </items>
    </pivotField>
    <pivotField showAll="0"/>
    <pivotField showAll="0">
      <items count="6">
        <item x="2"/>
        <item x="0"/>
        <item x="1"/>
        <item x="4"/>
        <item x="3"/>
        <item t="default"/>
      </items>
    </pivotField>
    <pivotField showAll="0">
      <items count="3">
        <item x="1"/>
        <item x="0"/>
        <item t="default"/>
      </items>
    </pivotField>
    <pivotField showAll="0">
      <items count="6">
        <item x="1"/>
        <item x="2"/>
        <item x="4"/>
        <item x="3"/>
        <item x="0"/>
        <item t="default"/>
      </items>
    </pivotField>
    <pivotField showAll="0"/>
    <pivotField numFmtId="164" showAll="0"/>
    <pivotField showAll="0"/>
    <pivotField showAll="0"/>
    <pivotField numFmtId="164" showAll="0"/>
    <pivotField numFmtId="164" showAll="0"/>
    <pivotField numFmtId="164" showAll="0"/>
    <pivotField numFmtId="164" showAll="0"/>
    <pivotField showAll="0"/>
    <pivotField showAll="0"/>
    <pivotField showAll="0"/>
    <pivotField showAll="0"/>
    <pivotField showAll="0"/>
    <pivotField showAll="0">
      <items count="5">
        <item x="2"/>
        <item x="1"/>
        <item x="3"/>
        <item x="0"/>
        <item t="default"/>
      </items>
    </pivotField>
    <pivotField showAll="0"/>
    <pivotField showAll="0"/>
    <pivotField showAll="0"/>
    <pivotField showAll="0"/>
    <pivotField showAll="0"/>
    <pivotField showAll="0"/>
    <pivotField showAll="0"/>
    <pivotField showAll="0"/>
    <pivotField showAll="0"/>
    <pivotField dataField="1" showAll="0"/>
  </pivotFields>
  <rowItems count="1">
    <i/>
  </rowItems>
  <colItems count="1">
    <i/>
  </colItems>
  <dataFields count="1">
    <dataField name="Average of MetricModifier" fld="32" subtotal="average"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D041D33-B409-4417-83ED-01009250EAD9}" name="funnelPT"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AG3:AI5" firstHeaderRow="1" firstDataRow="2" firstDataCol="0"/>
  <pivotFields count="33">
    <pivotField showAll="0"/>
    <pivotField showAll="0"/>
    <pivotField showAll="0">
      <items count="9">
        <item x="7"/>
        <item x="0"/>
        <item x="2"/>
        <item x="4"/>
        <item x="6"/>
        <item x="3"/>
        <item x="1"/>
        <item x="5"/>
        <item t="default"/>
      </items>
    </pivotField>
    <pivotField showAll="0"/>
    <pivotField showAll="0">
      <items count="22">
        <item x="2"/>
        <item x="1"/>
        <item x="10"/>
        <item x="13"/>
        <item x="19"/>
        <item x="3"/>
        <item x="7"/>
        <item x="6"/>
        <item x="12"/>
        <item x="16"/>
        <item x="17"/>
        <item x="9"/>
        <item x="15"/>
        <item x="8"/>
        <item x="0"/>
        <item x="5"/>
        <item x="4"/>
        <item x="11"/>
        <item x="20"/>
        <item x="14"/>
        <item x="18"/>
        <item t="default"/>
      </items>
    </pivotField>
    <pivotField showAll="0"/>
    <pivotField showAll="0">
      <items count="6">
        <item x="2"/>
        <item x="0"/>
        <item x="1"/>
        <item x="4"/>
        <item x="3"/>
        <item t="default"/>
      </items>
    </pivotField>
    <pivotField showAll="0">
      <items count="3">
        <item x="1"/>
        <item x="0"/>
        <item t="default"/>
      </items>
    </pivotField>
    <pivotField showAll="0">
      <items count="6">
        <item x="1"/>
        <item x="2"/>
        <item x="4"/>
        <item x="3"/>
        <item x="0"/>
        <item t="default"/>
      </items>
    </pivotField>
    <pivotField showAll="0"/>
    <pivotField numFmtId="164" showAll="0"/>
    <pivotField showAll="0"/>
    <pivotField showAll="0"/>
    <pivotField numFmtId="164" showAll="0"/>
    <pivotField numFmtId="164" showAll="0"/>
    <pivotField numFmtId="164" showAll="0"/>
    <pivotField numFmtId="164" showAll="0"/>
    <pivotField dataField="1" showAll="0"/>
    <pivotField dataField="1" showAll="0"/>
    <pivotField dataField="1" showAll="0"/>
    <pivotField showAll="0"/>
    <pivotField showAll="0"/>
    <pivotField showAll="0">
      <items count="5">
        <item x="2"/>
        <item x="1"/>
        <item x="3"/>
        <item x="0"/>
        <item t="default"/>
      </items>
    </pivotField>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3">
    <i>
      <x/>
    </i>
    <i i="1">
      <x v="1"/>
    </i>
    <i i="2">
      <x v="2"/>
    </i>
  </colItems>
  <dataFields count="3">
    <dataField name="Average of Stage1Days" fld="17" subtotal="average" baseField="0" baseItem="0"/>
    <dataField name="Average of Stage2Days" fld="18" subtotal="average" baseField="0" baseItem="0"/>
    <dataField name="Average of Stage3Days" fld="19" subtotal="average"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10350D7-B262-4B4B-BBF9-28E69438D8F1}" name="payBandPT" cacheId="0"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outline="1" outlineData="1" multipleFieldFilters="0" chartFormat="1">
  <location ref="R3:S8" firstHeaderRow="1" firstDataRow="1" firstDataCol="1"/>
  <pivotFields count="33">
    <pivotField showAll="0"/>
    <pivotField dataField="1" showAll="0"/>
    <pivotField showAll="0">
      <items count="9">
        <item x="7"/>
        <item x="0"/>
        <item x="2"/>
        <item x="4"/>
        <item x="6"/>
        <item x="3"/>
        <item x="1"/>
        <item x="5"/>
        <item t="default"/>
      </items>
    </pivotField>
    <pivotField showAll="0"/>
    <pivotField showAll="0">
      <items count="22">
        <item x="2"/>
        <item x="1"/>
        <item x="10"/>
        <item x="13"/>
        <item x="19"/>
        <item x="3"/>
        <item x="7"/>
        <item x="6"/>
        <item x="12"/>
        <item x="16"/>
        <item x="17"/>
        <item x="9"/>
        <item x="15"/>
        <item x="8"/>
        <item x="0"/>
        <item x="5"/>
        <item x="4"/>
        <item x="11"/>
        <item x="20"/>
        <item x="14"/>
        <item x="18"/>
        <item t="default"/>
      </items>
    </pivotField>
    <pivotField showAll="0"/>
    <pivotField showAll="0">
      <items count="6">
        <item x="2"/>
        <item x="0"/>
        <item x="1"/>
        <item x="4"/>
        <item x="3"/>
        <item t="default"/>
      </items>
    </pivotField>
    <pivotField showAll="0">
      <items count="3">
        <item x="1"/>
        <item x="0"/>
        <item t="default"/>
      </items>
    </pivotField>
    <pivotField axis="axisRow" showAll="0">
      <items count="6">
        <item x="3"/>
        <item x="0"/>
        <item x="1"/>
        <item x="2"/>
        <item x="4"/>
        <item t="default"/>
      </items>
    </pivotField>
    <pivotField showAll="0"/>
    <pivotField numFmtId="164" showAll="0"/>
    <pivotField showAll="0"/>
    <pivotField showAll="0"/>
    <pivotField numFmtId="164" showAll="0"/>
    <pivotField numFmtId="164" showAll="0"/>
    <pivotField numFmtId="164" showAll="0"/>
    <pivotField numFmtId="164" showAll="0"/>
    <pivotField showAll="0"/>
    <pivotField showAll="0"/>
    <pivotField showAll="0"/>
    <pivotField showAll="0"/>
    <pivotField showAll="0"/>
    <pivotField showAll="0">
      <items count="5">
        <item x="2"/>
        <item x="1"/>
        <item x="3"/>
        <item x="0"/>
        <item t="default"/>
      </items>
    </pivotField>
    <pivotField showAll="0"/>
    <pivotField showAll="0"/>
    <pivotField showAll="0"/>
    <pivotField showAll="0"/>
    <pivotField showAll="0"/>
    <pivotField showAll="0"/>
    <pivotField showAll="0"/>
    <pivotField showAll="0"/>
    <pivotField showAll="0"/>
    <pivotField showAll="0"/>
  </pivotFields>
  <rowFields count="1">
    <field x="8"/>
  </rowFields>
  <rowItems count="5">
    <i>
      <x/>
    </i>
    <i>
      <x v="1"/>
    </i>
    <i>
      <x v="2"/>
    </i>
    <i>
      <x v="3"/>
    </i>
    <i>
      <x v="4"/>
    </i>
  </rowItems>
  <colItems count="1">
    <i/>
  </colItems>
  <dataFields count="1">
    <dataField name="Count of Name"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4C12A8D-52EB-4321-AAB0-C18C7D528D13}" name="kpiPT"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A3:D5" firstHeaderRow="1" firstDataRow="2" firstDataCol="0"/>
  <pivotFields count="33">
    <pivotField showAll="0"/>
    <pivotField showAll="0"/>
    <pivotField showAll="0">
      <items count="9">
        <item x="7"/>
        <item x="0"/>
        <item x="2"/>
        <item x="4"/>
        <item x="6"/>
        <item x="3"/>
        <item x="1"/>
        <item x="5"/>
        <item t="default"/>
      </items>
    </pivotField>
    <pivotField showAll="0"/>
    <pivotField showAll="0">
      <items count="22">
        <item x="2"/>
        <item x="1"/>
        <item x="10"/>
        <item x="13"/>
        <item x="19"/>
        <item x="3"/>
        <item x="7"/>
        <item x="6"/>
        <item x="12"/>
        <item x="16"/>
        <item x="17"/>
        <item x="9"/>
        <item x="15"/>
        <item x="8"/>
        <item x="0"/>
        <item x="5"/>
        <item x="4"/>
        <item x="11"/>
        <item x="20"/>
        <item x="14"/>
        <item x="18"/>
        <item t="default"/>
      </items>
    </pivotField>
    <pivotField showAll="0"/>
    <pivotField showAll="0">
      <items count="6">
        <item x="2"/>
        <item x="0"/>
        <item x="1"/>
        <item x="4"/>
        <item x="3"/>
        <item t="default"/>
      </items>
    </pivotField>
    <pivotField showAll="0">
      <items count="3">
        <item x="1"/>
        <item x="0"/>
        <item t="default"/>
      </items>
    </pivotField>
    <pivotField showAll="0">
      <items count="6">
        <item x="1"/>
        <item x="2"/>
        <item x="4"/>
        <item x="3"/>
        <item x="0"/>
        <item t="default"/>
      </items>
    </pivotField>
    <pivotField showAll="0"/>
    <pivotField numFmtId="164" showAll="0"/>
    <pivotField showAll="0"/>
    <pivotField showAll="0"/>
    <pivotField numFmtId="164" showAll="0"/>
    <pivotField numFmtId="164" showAll="0"/>
    <pivotField numFmtId="164" showAll="0"/>
    <pivotField numFmtId="164" showAll="0"/>
    <pivotField showAll="0"/>
    <pivotField showAll="0"/>
    <pivotField showAll="0"/>
    <pivotField dataField="1" showAll="0"/>
    <pivotField showAll="0"/>
    <pivotField showAll="0">
      <items count="5">
        <item x="2"/>
        <item x="1"/>
        <item x="3"/>
        <item x="0"/>
        <item t="default"/>
      </items>
    </pivotField>
    <pivotField showAll="0"/>
    <pivotField showAll="0"/>
    <pivotField showAll="0"/>
    <pivotField showAll="0"/>
    <pivotField dataField="1" showAll="0"/>
    <pivotField dataField="1" showAll="0"/>
    <pivotField showAll="0"/>
    <pivotField dataField="1" showAll="0"/>
    <pivotField showAll="0"/>
    <pivotField showAll="0"/>
  </pivotFields>
  <rowItems count="1">
    <i/>
  </rowItems>
  <colFields count="1">
    <field x="-2"/>
  </colFields>
  <colItems count="4">
    <i>
      <x/>
    </i>
    <i i="1">
      <x v="1"/>
    </i>
    <i i="2">
      <x v="2"/>
    </i>
    <i i="3">
      <x v="3"/>
    </i>
  </colItems>
  <dataFields count="4">
    <dataField name="Sum of IsActiveFlag" fld="27" baseField="0" baseItem="0"/>
    <dataField name="Sum of IsExpiring30Flag" fld="28" baseField="0" baseItem="0"/>
    <dataField name="Average of OnboardingDays" fld="20" subtotal="average" baseField="0" baseItem="0"/>
    <dataField name="Sum of DiscrepancyFlag" fld="30"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892BFEE-89EA-429D-BBF8-E518F0148DA2}" name="discTypePT"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1">
  <location ref="BD3:BE9" firstHeaderRow="1" firstDataRow="1" firstDataCol="1"/>
  <pivotFields count="33">
    <pivotField dataField="1" showAll="0"/>
    <pivotField showAll="0"/>
    <pivotField showAll="0">
      <items count="9">
        <item x="7"/>
        <item x="0"/>
        <item x="2"/>
        <item x="4"/>
        <item x="6"/>
        <item x="3"/>
        <item x="1"/>
        <item x="5"/>
        <item t="default"/>
      </items>
    </pivotField>
    <pivotField showAll="0"/>
    <pivotField showAll="0">
      <items count="22">
        <item x="2"/>
        <item x="1"/>
        <item x="10"/>
        <item x="13"/>
        <item x="19"/>
        <item x="3"/>
        <item x="7"/>
        <item x="6"/>
        <item x="12"/>
        <item x="16"/>
        <item x="17"/>
        <item x="9"/>
        <item x="15"/>
        <item x="8"/>
        <item x="0"/>
        <item x="5"/>
        <item x="4"/>
        <item x="11"/>
        <item x="20"/>
        <item x="14"/>
        <item x="18"/>
        <item t="default"/>
      </items>
    </pivotField>
    <pivotField showAll="0"/>
    <pivotField showAll="0">
      <items count="6">
        <item x="2"/>
        <item x="0"/>
        <item x="1"/>
        <item x="4"/>
        <item x="3"/>
        <item t="default"/>
      </items>
    </pivotField>
    <pivotField showAll="0">
      <items count="3">
        <item x="1"/>
        <item x="0"/>
        <item t="default"/>
      </items>
    </pivotField>
    <pivotField showAll="0">
      <items count="6">
        <item x="1"/>
        <item x="2"/>
        <item x="4"/>
        <item x="3"/>
        <item x="0"/>
        <item t="default"/>
      </items>
    </pivotField>
    <pivotField showAll="0"/>
    <pivotField numFmtId="164" showAll="0"/>
    <pivotField showAll="0"/>
    <pivotField showAll="0"/>
    <pivotField numFmtId="164" showAll="0"/>
    <pivotField numFmtId="164" showAll="0"/>
    <pivotField numFmtId="164" showAll="0"/>
    <pivotField numFmtId="164" showAll="0"/>
    <pivotField showAll="0"/>
    <pivotField showAll="0"/>
    <pivotField showAll="0"/>
    <pivotField showAll="0"/>
    <pivotField showAll="0"/>
    <pivotField showAll="0">
      <items count="5">
        <item x="2"/>
        <item x="1"/>
        <item x="3"/>
        <item x="0"/>
        <item t="default"/>
      </items>
    </pivotField>
    <pivotField showAll="0"/>
    <pivotField showAll="0"/>
    <pivotField axis="axisRow" showAll="0">
      <items count="7">
        <item x="2"/>
        <item x="4"/>
        <item x="3"/>
        <item x="5"/>
        <item x="0"/>
        <item h="1" x="1"/>
        <item t="default"/>
      </items>
    </pivotField>
    <pivotField showAll="0"/>
    <pivotField showAll="0"/>
    <pivotField showAll="0"/>
    <pivotField showAll="0"/>
    <pivotField showAll="0"/>
    <pivotField showAll="0"/>
    <pivotField showAll="0"/>
  </pivotFields>
  <rowFields count="1">
    <field x="25"/>
  </rowFields>
  <rowItems count="6">
    <i>
      <x/>
    </i>
    <i>
      <x v="1"/>
    </i>
    <i>
      <x v="2"/>
    </i>
    <i>
      <x v="3"/>
    </i>
    <i>
      <x v="4"/>
    </i>
    <i t="grand">
      <x/>
    </i>
  </rowItems>
  <colItems count="1">
    <i/>
  </colItems>
  <dataFields count="1">
    <dataField name="Count"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5" count="1" selected="0">
            <x v="0"/>
          </reference>
        </references>
      </pivotArea>
    </chartFormat>
    <chartFormat chart="0" format="2">
      <pivotArea type="data" outline="0" fieldPosition="0">
        <references count="2">
          <reference field="4294967294" count="1" selected="0">
            <x v="0"/>
          </reference>
          <reference field="25" count="1" selected="0">
            <x v="1"/>
          </reference>
        </references>
      </pivotArea>
    </chartFormat>
    <chartFormat chart="0" format="3">
      <pivotArea type="data" outline="0" fieldPosition="0">
        <references count="2">
          <reference field="4294967294" count="1" selected="0">
            <x v="0"/>
          </reference>
          <reference field="25" count="1" selected="0">
            <x v="2"/>
          </reference>
        </references>
      </pivotArea>
    </chartFormat>
    <chartFormat chart="0" format="4">
      <pivotArea type="data" outline="0" fieldPosition="0">
        <references count="2">
          <reference field="4294967294" count="1" selected="0">
            <x v="0"/>
          </reference>
          <reference field="25" count="1" selected="0">
            <x v="3"/>
          </reference>
        </references>
      </pivotArea>
    </chartFormat>
    <chartFormat chart="0" format="5">
      <pivotArea type="data" outline="0" fieldPosition="0">
        <references count="2">
          <reference field="4294967294" count="1" selected="0">
            <x v="0"/>
          </reference>
          <reference field="25" count="1" selected="0">
            <x v="4"/>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832F704-E758-496B-94E0-AE20C95FC2D5}" name="statePT" cacheId="0"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outline="1" outlineData="1" multipleFieldFilters="0" chartFormat="1">
  <location ref="H3:I24" firstHeaderRow="1" firstDataRow="1" firstDataCol="1"/>
  <pivotFields count="33">
    <pivotField showAll="0"/>
    <pivotField dataField="1" showAll="0"/>
    <pivotField showAll="0">
      <items count="9">
        <item x="7"/>
        <item x="0"/>
        <item x="2"/>
        <item x="4"/>
        <item x="6"/>
        <item x="3"/>
        <item x="1"/>
        <item x="5"/>
        <item t="default"/>
      </items>
    </pivotField>
    <pivotField showAll="0"/>
    <pivotField axis="axisRow" showAll="0" sortType="descending">
      <items count="22">
        <item x="2"/>
        <item x="1"/>
        <item x="10"/>
        <item x="13"/>
        <item x="19"/>
        <item x="3"/>
        <item x="7"/>
        <item x="6"/>
        <item x="12"/>
        <item x="16"/>
        <item x="17"/>
        <item x="9"/>
        <item x="15"/>
        <item x="8"/>
        <item x="0"/>
        <item x="5"/>
        <item x="4"/>
        <item x="11"/>
        <item x="20"/>
        <item x="14"/>
        <item x="18"/>
        <item t="default"/>
      </items>
      <autoSortScope>
        <pivotArea dataOnly="0" outline="0" fieldPosition="0">
          <references count="1">
            <reference field="4294967294" count="1" selected="0">
              <x v="0"/>
            </reference>
          </references>
        </pivotArea>
      </autoSortScope>
    </pivotField>
    <pivotField showAll="0"/>
    <pivotField showAll="0">
      <items count="6">
        <item x="2"/>
        <item x="0"/>
        <item x="1"/>
        <item x="4"/>
        <item x="3"/>
        <item t="default"/>
      </items>
    </pivotField>
    <pivotField showAll="0">
      <items count="3">
        <item x="1"/>
        <item x="0"/>
        <item t="default"/>
      </items>
    </pivotField>
    <pivotField showAll="0">
      <items count="6">
        <item x="1"/>
        <item x="2"/>
        <item x="4"/>
        <item x="3"/>
        <item x="0"/>
        <item t="default"/>
      </items>
    </pivotField>
    <pivotField showAll="0"/>
    <pivotField numFmtId="164" showAll="0"/>
    <pivotField showAll="0"/>
    <pivotField showAll="0"/>
    <pivotField numFmtId="164" showAll="0"/>
    <pivotField numFmtId="164" showAll="0"/>
    <pivotField numFmtId="164" showAll="0"/>
    <pivotField numFmtId="164" showAll="0"/>
    <pivotField showAll="0"/>
    <pivotField showAll="0"/>
    <pivotField showAll="0"/>
    <pivotField showAll="0"/>
    <pivotField showAll="0"/>
    <pivotField showAll="0">
      <items count="5">
        <item x="2"/>
        <item x="1"/>
        <item x="3"/>
        <item x="0"/>
        <item t="default"/>
      </items>
    </pivotField>
    <pivotField showAll="0"/>
    <pivotField showAll="0"/>
    <pivotField showAll="0"/>
    <pivotField showAll="0"/>
    <pivotField showAll="0"/>
    <pivotField showAll="0"/>
    <pivotField showAll="0"/>
    <pivotField showAll="0"/>
    <pivotField showAll="0"/>
    <pivotField showAll="0"/>
  </pivotFields>
  <rowFields count="1">
    <field x="4"/>
  </rowFields>
  <rowItems count="21">
    <i>
      <x v="17"/>
    </i>
    <i>
      <x v="14"/>
    </i>
    <i>
      <x v="1"/>
    </i>
    <i>
      <x v="3"/>
    </i>
    <i>
      <x v="6"/>
    </i>
    <i>
      <x v="12"/>
    </i>
    <i>
      <x v="13"/>
    </i>
    <i>
      <x v="5"/>
    </i>
    <i>
      <x v="19"/>
    </i>
    <i>
      <x v="15"/>
    </i>
    <i>
      <x v="16"/>
    </i>
    <i>
      <x v="8"/>
    </i>
    <i>
      <x v="9"/>
    </i>
    <i>
      <x v="11"/>
    </i>
    <i>
      <x v="7"/>
    </i>
    <i>
      <x v="10"/>
    </i>
    <i>
      <x v="2"/>
    </i>
    <i>
      <x/>
    </i>
    <i>
      <x v="20"/>
    </i>
    <i>
      <x v="4"/>
    </i>
    <i>
      <x v="18"/>
    </i>
  </rowItems>
  <colItems count="1">
    <i/>
  </colItems>
  <dataFields count="1">
    <dataField name="Count of Name"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A826881-5FBC-4578-AB26-28ED8999331D}" name="ageBucketPT" cacheId="0"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outline="1" outlineData="1" multipleFieldFilters="0" chartFormat="1">
  <location ref="W3:X8" firstHeaderRow="1" firstDataRow="1" firstDataCol="1"/>
  <pivotFields count="33">
    <pivotField showAll="0"/>
    <pivotField dataField="1" showAll="0"/>
    <pivotField showAll="0">
      <items count="9">
        <item x="7"/>
        <item x="0"/>
        <item x="2"/>
        <item x="4"/>
        <item x="6"/>
        <item x="3"/>
        <item x="1"/>
        <item x="5"/>
        <item t="default"/>
      </items>
    </pivotField>
    <pivotField showAll="0"/>
    <pivotField showAll="0">
      <items count="22">
        <item x="2"/>
        <item x="1"/>
        <item x="10"/>
        <item x="13"/>
        <item x="19"/>
        <item x="3"/>
        <item x="7"/>
        <item x="6"/>
        <item x="12"/>
        <item x="16"/>
        <item x="17"/>
        <item x="9"/>
        <item x="15"/>
        <item x="8"/>
        <item x="0"/>
        <item x="5"/>
        <item x="4"/>
        <item x="11"/>
        <item x="20"/>
        <item x="14"/>
        <item x="18"/>
        <item t="default"/>
      </items>
    </pivotField>
    <pivotField showAll="0"/>
    <pivotField axis="axisRow" showAll="0">
      <items count="6">
        <item x="2"/>
        <item x="0"/>
        <item x="1"/>
        <item x="4"/>
        <item x="3"/>
        <item t="default"/>
      </items>
    </pivotField>
    <pivotField showAll="0">
      <items count="3">
        <item x="1"/>
        <item x="0"/>
        <item t="default"/>
      </items>
    </pivotField>
    <pivotField showAll="0">
      <items count="6">
        <item x="1"/>
        <item x="2"/>
        <item x="4"/>
        <item x="3"/>
        <item x="0"/>
        <item t="default"/>
      </items>
    </pivotField>
    <pivotField showAll="0"/>
    <pivotField numFmtId="164" showAll="0"/>
    <pivotField showAll="0"/>
    <pivotField showAll="0"/>
    <pivotField numFmtId="164" showAll="0"/>
    <pivotField numFmtId="164" showAll="0"/>
    <pivotField numFmtId="164" showAll="0"/>
    <pivotField numFmtId="164" showAll="0"/>
    <pivotField showAll="0"/>
    <pivotField showAll="0"/>
    <pivotField showAll="0"/>
    <pivotField showAll="0"/>
    <pivotField showAll="0"/>
    <pivotField showAll="0">
      <items count="5">
        <item x="2"/>
        <item x="1"/>
        <item x="3"/>
        <item x="0"/>
        <item t="default"/>
      </items>
    </pivotField>
    <pivotField showAll="0"/>
    <pivotField showAll="0"/>
    <pivotField showAll="0"/>
    <pivotField showAll="0"/>
    <pivotField showAll="0"/>
    <pivotField showAll="0"/>
    <pivotField showAll="0"/>
    <pivotField showAll="0"/>
    <pivotField showAll="0"/>
    <pivotField showAll="0"/>
  </pivotFields>
  <rowFields count="1">
    <field x="6"/>
  </rowFields>
  <rowItems count="5">
    <i>
      <x/>
    </i>
    <i>
      <x v="1"/>
    </i>
    <i>
      <x v="2"/>
    </i>
    <i>
      <x v="3"/>
    </i>
    <i>
      <x v="4"/>
    </i>
  </rowItems>
  <colItems count="1">
    <i/>
  </colItems>
  <dataFields count="1">
    <dataField name="Count of Name"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7E1F129-D776-4073-902B-C4424DE8A159}" name="stagePT" cacheId="0" dataOnRows="1"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1">
  <location ref="AR3:AS6" firstHeaderRow="1" firstDataRow="1" firstDataCol="1"/>
  <pivotFields count="33">
    <pivotField showAll="0"/>
    <pivotField showAll="0"/>
    <pivotField showAll="0">
      <items count="9">
        <item x="7"/>
        <item x="0"/>
        <item x="2"/>
        <item x="4"/>
        <item x="6"/>
        <item x="3"/>
        <item x="1"/>
        <item x="5"/>
        <item t="default"/>
      </items>
    </pivotField>
    <pivotField showAll="0"/>
    <pivotField showAll="0">
      <items count="22">
        <item x="2"/>
        <item x="1"/>
        <item x="10"/>
        <item x="13"/>
        <item x="19"/>
        <item x="3"/>
        <item x="7"/>
        <item x="6"/>
        <item x="12"/>
        <item x="16"/>
        <item x="17"/>
        <item x="9"/>
        <item x="15"/>
        <item x="8"/>
        <item x="0"/>
        <item x="5"/>
        <item x="4"/>
        <item x="11"/>
        <item x="20"/>
        <item x="14"/>
        <item x="18"/>
        <item t="default"/>
      </items>
    </pivotField>
    <pivotField showAll="0"/>
    <pivotField showAll="0">
      <items count="6">
        <item x="2"/>
        <item x="0"/>
        <item x="1"/>
        <item x="4"/>
        <item x="3"/>
        <item t="default"/>
      </items>
    </pivotField>
    <pivotField showAll="0">
      <items count="3">
        <item x="1"/>
        <item x="0"/>
        <item t="default"/>
      </items>
    </pivotField>
    <pivotField showAll="0">
      <items count="6">
        <item x="1"/>
        <item x="2"/>
        <item x="4"/>
        <item x="3"/>
        <item x="0"/>
        <item t="default"/>
      </items>
    </pivotField>
    <pivotField showAll="0"/>
    <pivotField numFmtId="164" showAll="0"/>
    <pivotField showAll="0"/>
    <pivotField showAll="0"/>
    <pivotField numFmtId="164" showAll="0"/>
    <pivotField numFmtId="164" showAll="0"/>
    <pivotField numFmtId="164" showAll="0"/>
    <pivotField numFmtId="164" showAll="0"/>
    <pivotField dataField="1" showAll="0"/>
    <pivotField dataField="1" showAll="0"/>
    <pivotField dataField="1" showAll="0"/>
    <pivotField showAll="0"/>
    <pivotField showAll="0"/>
    <pivotField showAll="0">
      <items count="5">
        <item x="2"/>
        <item x="1"/>
        <item x="3"/>
        <item x="0"/>
        <item t="default"/>
      </items>
    </pivotField>
    <pivotField showAll="0"/>
    <pivotField showAll="0"/>
    <pivotField showAll="0"/>
    <pivotField showAll="0"/>
    <pivotField showAll="0"/>
    <pivotField showAll="0"/>
    <pivotField showAll="0"/>
    <pivotField showAll="0"/>
    <pivotField showAll="0"/>
    <pivotField showAll="0"/>
  </pivotFields>
  <rowFields count="1">
    <field x="-2"/>
  </rowFields>
  <rowItems count="3">
    <i>
      <x/>
    </i>
    <i i="1">
      <x v="1"/>
    </i>
    <i i="2">
      <x v="2"/>
    </i>
  </rowItems>
  <colItems count="1">
    <i/>
  </colItems>
  <dataFields count="3">
    <dataField name="Avg Stage1" fld="17" subtotal="average" baseField="0" baseItem="0"/>
    <dataField name="Avg Stage2" fld="18" subtotal="average" baseField="0" baseItem="0"/>
    <dataField name="Avg Stage3" fld="19" subtotal="average"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463A393-0378-4F57-9F9A-5A9244322AD8}" name="extStatusPT"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1">
  <location ref="AX3:AY6" firstHeaderRow="1" firstDataRow="1" firstDataCol="1" rowPageCount="1" colPageCount="1"/>
  <pivotFields count="33">
    <pivotField dataField="1" showAll="0"/>
    <pivotField showAll="0"/>
    <pivotField showAll="0">
      <items count="9">
        <item x="7"/>
        <item x="0"/>
        <item x="2"/>
        <item x="4"/>
        <item x="6"/>
        <item x="3"/>
        <item x="1"/>
        <item x="5"/>
        <item t="default"/>
      </items>
    </pivotField>
    <pivotField showAll="0"/>
    <pivotField showAll="0">
      <items count="22">
        <item x="2"/>
        <item x="1"/>
        <item x="10"/>
        <item x="13"/>
        <item x="19"/>
        <item x="3"/>
        <item x="7"/>
        <item x="6"/>
        <item x="12"/>
        <item x="16"/>
        <item x="17"/>
        <item x="9"/>
        <item x="15"/>
        <item x="8"/>
        <item x="0"/>
        <item x="5"/>
        <item x="4"/>
        <item x="11"/>
        <item x="20"/>
        <item x="14"/>
        <item x="18"/>
        <item t="default"/>
      </items>
    </pivotField>
    <pivotField showAll="0"/>
    <pivotField showAll="0">
      <items count="6">
        <item x="2"/>
        <item x="0"/>
        <item x="1"/>
        <item x="4"/>
        <item x="3"/>
        <item t="default"/>
      </items>
    </pivotField>
    <pivotField showAll="0">
      <items count="3">
        <item x="1"/>
        <item x="0"/>
        <item t="default"/>
      </items>
    </pivotField>
    <pivotField showAll="0">
      <items count="6">
        <item x="1"/>
        <item x="2"/>
        <item x="4"/>
        <item x="3"/>
        <item x="0"/>
        <item t="default"/>
      </items>
    </pivotField>
    <pivotField showAll="0"/>
    <pivotField numFmtId="164" showAll="0"/>
    <pivotField showAll="0"/>
    <pivotField axis="axisRow" showAll="0">
      <items count="4">
        <item x="2"/>
        <item x="0"/>
        <item x="1"/>
        <item t="default"/>
      </items>
    </pivotField>
    <pivotField numFmtId="164" showAll="0"/>
    <pivotField numFmtId="164" showAll="0"/>
    <pivotField numFmtId="164" showAll="0"/>
    <pivotField numFmtId="164" showAll="0"/>
    <pivotField showAll="0"/>
    <pivotField showAll="0"/>
    <pivotField showAll="0"/>
    <pivotField showAll="0"/>
    <pivotField showAll="0"/>
    <pivotField showAll="0">
      <items count="5">
        <item x="2"/>
        <item x="1"/>
        <item x="3"/>
        <item x="0"/>
        <item t="default"/>
      </items>
    </pivotField>
    <pivotField showAll="0"/>
    <pivotField showAll="0"/>
    <pivotField showAll="0"/>
    <pivotField showAll="0"/>
    <pivotField showAll="0"/>
    <pivotField axis="axisPage" showAll="0">
      <items count="3">
        <item x="0"/>
        <item x="1"/>
        <item t="default"/>
      </items>
    </pivotField>
    <pivotField showAll="0"/>
    <pivotField showAll="0"/>
    <pivotField showAll="0"/>
    <pivotField showAll="0"/>
  </pivotFields>
  <rowFields count="1">
    <field x="12"/>
  </rowFields>
  <rowItems count="3">
    <i>
      <x v="1"/>
    </i>
    <i>
      <x v="2"/>
    </i>
    <i t="grand">
      <x/>
    </i>
  </rowItems>
  <colItems count="1">
    <i/>
  </colItems>
  <pageFields count="1">
    <pageField fld="28" item="1" hier="-1"/>
  </pageFields>
  <dataFields count="1">
    <dataField name="Count"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1264AD4C-B3D9-4E5D-A2AB-FFB0D856234E}" sourceName="State">
  <pivotTables>
    <pivotTable tabId="4" name="kpiPT"/>
    <pivotTable tabId="4" name="statePT"/>
    <pivotTable tabId="4" name="vendorPT"/>
    <pivotTable tabId="4" name="payBandPT"/>
    <pivotTable tabId="4" name="ageBucketPT"/>
    <pivotTable tabId="4" name="tenurePT"/>
    <pivotTable tabId="4" name="funnelPT"/>
    <pivotTable tabId="4" name="modifierPT"/>
    <pivotTable tabId="5" name="namesPT"/>
    <pivotTable tabId="4" name="stagePT"/>
    <pivotTable tabId="4" name="extStatusPT"/>
    <pivotTable tabId="4" name="discTypePT"/>
  </pivotTables>
  <data>
    <tabular pivotCacheId="286408125">
      <items count="21">
        <i x="2" s="1"/>
        <i x="1" s="1"/>
        <i x="10" s="1"/>
        <i x="13" s="1"/>
        <i x="19" s="1"/>
        <i x="3" s="1"/>
        <i x="7" s="1"/>
        <i x="6" s="1"/>
        <i x="12" s="1"/>
        <i x="16" s="1"/>
        <i x="17" s="1"/>
        <i x="9" s="1"/>
        <i x="15" s="1"/>
        <i x="8" s="1"/>
        <i x="0" s="1"/>
        <i x="5" s="1"/>
        <i x="4" s="1"/>
        <i x="11" s="1"/>
        <i x="20" s="1"/>
        <i x="14" s="1"/>
        <i x="18"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 xr10:uid="{7F0329DB-6138-4DDA-B125-B8999DE9E2B2}" sourceName="Vendor">
  <pivotTables>
    <pivotTable tabId="4" name="kpiPT"/>
    <pivotTable tabId="4" name="statePT"/>
    <pivotTable tabId="4" name="vendorPT"/>
    <pivotTable tabId="4" name="payBandPT"/>
    <pivotTable tabId="4" name="ageBucketPT"/>
    <pivotTable tabId="4" name="tenurePT"/>
    <pivotTable tabId="4" name="funnelPT"/>
    <pivotTable tabId="4" name="modifierPT"/>
    <pivotTable tabId="5" name="namesPT"/>
    <pivotTable tabId="4" name="stagePT"/>
    <pivotTable tabId="4" name="extStatusPT"/>
    <pivotTable tabId="4" name="discTypePT"/>
  </pivotTables>
  <data>
    <tabular pivotCacheId="286408125">
      <items count="8">
        <i x="7" s="1"/>
        <i x="0" s="1"/>
        <i x="2" s="1"/>
        <i x="4" s="1"/>
        <i x="6" s="1"/>
        <i x="3" s="1"/>
        <i x="1"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FA237931-FC46-4584-ADAD-24BF841DEB5D}" sourceName="Gender">
  <pivotTables>
    <pivotTable tabId="4" name="kpiPT"/>
    <pivotTable tabId="4" name="statePT"/>
    <pivotTable tabId="4" name="vendorPT"/>
    <pivotTable tabId="4" name="payBandPT"/>
    <pivotTable tabId="4" name="ageBucketPT"/>
    <pivotTable tabId="4" name="tenurePT"/>
    <pivotTable tabId="4" name="funnelPT"/>
    <pivotTable tabId="4" name="modifierPT"/>
    <pivotTable tabId="5" name="namesPT"/>
    <pivotTable tabId="4" name="stagePT"/>
    <pivotTable tabId="4" name="extStatusPT"/>
    <pivotTable tabId="4" name="discTypePT"/>
  </pivotTables>
  <data>
    <tabular pivotCacheId="286408125">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Band" xr10:uid="{2224089B-3E58-450E-AE80-BECC6834A026}" sourceName="PayBand">
  <pivotTables>
    <pivotTable tabId="4" name="kpiPT"/>
    <pivotTable tabId="4" name="statePT"/>
    <pivotTable tabId="4" name="vendorPT"/>
    <pivotTable tabId="4" name="payBandPT"/>
    <pivotTable tabId="4" name="ageBucketPT"/>
    <pivotTable tabId="4" name="tenurePT"/>
    <pivotTable tabId="4" name="funnelPT"/>
    <pivotTable tabId="4" name="modifierPT"/>
    <pivotTable tabId="5" name="namesPT"/>
    <pivotTable tabId="4" name="stagePT"/>
    <pivotTable tabId="4" name="extStatusPT"/>
    <pivotTable tabId="4" name="discTypePT"/>
  </pivotTables>
  <data>
    <tabular pivotCacheId="286408125">
      <items count="5">
        <i x="1" s="1"/>
        <i x="2" s="1"/>
        <i x="4" s="1"/>
        <i x="3"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Bucket" xr10:uid="{E185DF4E-255E-45D6-976C-07055025DECE}" sourceName="AgeBucket">
  <pivotTables>
    <pivotTable tabId="4" name="ageBucketPT"/>
    <pivotTable tabId="4" name="vendorPT"/>
    <pivotTable tabId="4" name="statePT"/>
    <pivotTable tabId="4" name="tenurePT"/>
    <pivotTable tabId="4" name="modifierPT"/>
    <pivotTable tabId="4" name="kpiPT"/>
    <pivotTable tabId="4" name="funnelPT"/>
    <pivotTable tabId="4" name="payBandPT"/>
    <pivotTable tabId="5" name="namesPT"/>
    <pivotTable tabId="4" name="stagePT"/>
    <pivotTable tabId="4" name="extStatusPT"/>
    <pivotTable tabId="4" name="discTypePT"/>
  </pivotTables>
  <data>
    <tabular pivotCacheId="286408125">
      <items count="5">
        <i x="2" s="1"/>
        <i x="0" s="1"/>
        <i x="1" s="1"/>
        <i x="4"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nureBucket" xr10:uid="{5AFAE6A6-80D5-4027-BB68-7F9F93573F21}" sourceName="TenureBucket">
  <pivotTables>
    <pivotTable tabId="4" name="tenurePT"/>
    <pivotTable tabId="4" name="vendorPT"/>
    <pivotTable tabId="4" name="statePT"/>
    <pivotTable tabId="4" name="modifierPT"/>
    <pivotTable tabId="4" name="kpiPT"/>
    <pivotTable tabId="4" name="funnelPT"/>
    <pivotTable tabId="4" name="ageBucketPT"/>
    <pivotTable tabId="4" name="payBandPT"/>
    <pivotTable tabId="5" name="namesPT"/>
    <pivotTable tabId="4" name="stagePT"/>
    <pivotTable tabId="4" name="extStatusPT"/>
    <pivotTable tabId="4" name="discTypePT"/>
  </pivotTables>
  <data>
    <tabular pivotCacheId="286408125">
      <items count="4">
        <i x="2" s="1"/>
        <i x="1" s="1"/>
        <i x="3"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7BA2A497-5CFD-43AE-ACCA-14760E202E9A}" cache="Slicer_State" caption="State" columnCount="6" style="SlicerStyleOther2" rowHeight="234950"/>
  <slicer name="Vendor" xr10:uid="{0943484F-4CBA-44B7-965A-6E48F35869DF}" cache="Slicer_Vendor" caption="Vendor" columnCount="2" style="SlicerStyleOther2" rowHeight="234950"/>
  <slicer name="Gender" xr10:uid="{3FAAB855-E742-421A-86FA-0587678D7B8D}" cache="Slicer_Gender" caption="Gender" style="SlicerStyleOther2" rowHeight="234950"/>
  <slicer name="PayBand" xr10:uid="{6AD5AF51-2A49-470F-8338-42FD62F9321C}" cache="Slicer_PayBand" caption="Pay Band" columnCount="2" style="SlicerStyleOther2" rowHeight="234950"/>
  <slicer name="Age" xr10:uid="{1ED4766E-2BE8-4679-9C51-B03349BCCB12}" cache="Slicer_AgeBucket" caption="Age" rowHeight="234950"/>
  <slicer name="Tenure" xr10:uid="{80F0A3C5-DE38-44B8-98AF-4CA1688576B5}" cache="Slicer_TenureBucket" caption="Tenur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1B344F-C3AF-4D40-8D1B-E718EA6C0610}" name="tblContractors" displayName="tblContractors" ref="A1:AG79" totalsRowShown="0">
  <autoFilter ref="A1:AG79" xr:uid="{DB1B344F-C3AF-4D40-8D1B-E718EA6C0610}"/>
  <tableColumns count="33">
    <tableColumn id="1" xr3:uid="{76C8EE83-CB7A-4E32-BA9A-20A8D6E32650}" name="Id"/>
    <tableColumn id="2" xr3:uid="{3EF57CF3-D1B1-4CCE-ACED-EDBEA64B4912}" name="Name"/>
    <tableColumn id="3" xr3:uid="{6C836979-58DF-4903-A416-6C5EFC8A7547}" name="Vendor"/>
    <tableColumn id="4" xr3:uid="{A4B7A833-159E-41F1-B3FF-B3612402D455}" name="VMS"/>
    <tableColumn id="5" xr3:uid="{B5E9CF5E-6505-47CE-9736-74F1C114522C}" name="State"/>
    <tableColumn id="6" xr3:uid="{BC2A32B2-D09B-4670-8773-FC955360D99C}" name="Age"/>
    <tableColumn id="7" xr3:uid="{A7667B25-1064-4374-B045-1DD5CA73BB58}" name="AgeBucket"/>
    <tableColumn id="8" xr3:uid="{677B50AC-A5AE-4D59-B450-44D025DB22E7}" name="Gender"/>
    <tableColumn id="9" xr3:uid="{1F7151BD-6E70-44E8-94C7-C30687DCAB5E}" name="PayBand"/>
    <tableColumn id="10" xr3:uid="{4812BE81-0033-4134-A185-775CEC2409AB}" name="Status"/>
    <tableColumn id="11" xr3:uid="{19C3D966-1BD4-4B33-9B2D-24E0057AA90D}" name="EndDate" dataDxfId="9"/>
    <tableColumn id="12" xr3:uid="{9BA94E6A-7C8B-4AA3-B602-A57D142586C0}" name="DaysUntilExpiration"/>
    <tableColumn id="13" xr3:uid="{E5741F41-915E-4487-87E3-01022648DA0C}" name="ExtensionStatus"/>
    <tableColumn id="14" xr3:uid="{65982442-0C55-444A-9C6A-33FE475EA5B8}" name="RequestReceived" dataDxfId="8"/>
    <tableColumn id="15" xr3:uid="{AD1BFEBE-D1B0-499F-B967-812EC0D585DF}" name="AdCreated" dataDxfId="7"/>
    <tableColumn id="16" xr3:uid="{EB334948-F293-45E1-BEB7-234523A194B9}" name="AccessGranted" dataDxfId="6"/>
    <tableColumn id="17" xr3:uid="{BF749B83-D739-4BEB-A489-18E3807C6FFF}" name="GoLive" dataDxfId="5"/>
    <tableColumn id="18" xr3:uid="{8D129352-916F-4E16-882B-F451B4A0ABB0}" name="Stage1Days"/>
    <tableColumn id="19" xr3:uid="{AEDDBA45-CFC3-47B9-A5DD-A11F58BAFE9F}" name="Stage2Days"/>
    <tableColumn id="20" xr3:uid="{BD73115A-AB81-4830-9831-9FFEBED21E78}" name="Stage3Days"/>
    <tableColumn id="21" xr3:uid="{1D4E9BB4-40DA-4F1F-BB2F-CF2DF8E3C462}" name="OnboardingDays"/>
    <tableColumn id="22" xr3:uid="{055BC9CA-13CB-4603-AAD3-5F5FDF61FAE2}" name="TenureMonths"/>
    <tableColumn id="23" xr3:uid="{35D4DC0E-D36C-4EC4-800C-D8E14DF2FC03}" name="TenureBucket"/>
    <tableColumn id="24" xr3:uid="{18FC4A85-A573-4B74-8EA8-7715A40C6C24}" name="SystemAStatus"/>
    <tableColumn id="25" xr3:uid="{01C05A0E-DC89-42A1-8863-78E7F6C050EC}" name="SystemBStatus"/>
    <tableColumn id="26" xr3:uid="{756A8008-85E4-4703-8790-D88C0D05E510}" name="DiscrepancyType" dataDxfId="4"/>
    <tableColumn id="27" xr3:uid="{F1F1A20E-CB12-48FA-9E5C-70C9BADF168D}" name="FlaggedDate"/>
    <tableColumn id="28" xr3:uid="{EEC34B73-A54A-4FB1-93EA-2860F26F63A9}" name="IsActiveFlag"/>
    <tableColumn id="29" xr3:uid="{806DD713-21C1-4C2E-9B8C-BFA2248526BE}" name="IsExpiring30Flag"/>
    <tableColumn id="30" xr3:uid="{1C7C1435-562D-4F95-9EC0-823F0FBAB158}" name="ExpiringSoonFlag"/>
    <tableColumn id="31" xr3:uid="{E16FF9F1-B92A-4B60-A918-C8F799569B02}" name="DiscrepancyFlag"/>
    <tableColumn id="32" xr3:uid="{AE8CF8F3-270D-47F0-8B93-47BB878C74CB}" name="StateName"/>
    <tableColumn id="33" xr3:uid="{D15E8FBF-D935-4EDA-9A26-ADAE09D39D44}" name="MetricModifie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66AECA-2944-4115-99B4-090AF814C00A}" name="tblSlaTrend" displayName="tblSlaTrend" ref="A1:F13" totalsRowShown="0">
  <autoFilter ref="A1:F13" xr:uid="{2D66AECA-2944-4115-99B4-090AF814C00A}"/>
  <tableColumns count="6">
    <tableColumn id="1" xr3:uid="{0BEB38BA-6BE3-403B-96D0-9316B8A41DB8}" name="MonthDate" dataDxfId="3"/>
    <tableColumn id="2" xr3:uid="{6ACFC4E5-66E4-493A-A5F6-B40E1560690C}" name="Label"/>
    <tableColumn id="3" xr3:uid="{307E79C4-9C9A-4C32-9ED4-FE2959DE8AF2}" name="SlaPct" dataDxfId="2"/>
    <tableColumn id="4" xr3:uid="{BDCFB549-E8CE-4B06-954F-8187816C8CE8}" name="TurnoverPct" dataDxfId="1"/>
    <tableColumn id="5" xr3:uid="{D16CF6AE-EB29-4996-8F9F-468902F90276}" name="BaseSla"/>
    <tableColumn id="6" xr3:uid="{5111D6F8-6D4C-46F4-A471-81A27BC201A3}" name="BaseTurnove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AB1C1F-192A-447A-BAB1-58B56AE3EA10}" name="tblDiscrepancies" displayName="tblDiscrepancies" ref="A1:F14" totalsRowShown="0">
  <autoFilter ref="A1:F14" xr:uid="{D9AB1C1F-192A-447A-BAB1-58B56AE3EA10}"/>
  <tableColumns count="6">
    <tableColumn id="1" xr3:uid="{E011DB72-F3FB-4D9A-9CFC-ED19AABD95F5}" name="Contractor"/>
    <tableColumn id="2" xr3:uid="{40240A4F-B223-4655-A99F-2F2B096B2A82}" name="Vendor"/>
    <tableColumn id="3" xr3:uid="{D22CA96D-6850-42C0-8549-1878A5F788D2}" name="Discrepancy Type"/>
    <tableColumn id="4" xr3:uid="{999FE6F7-F5B8-4DDA-9AD5-B4946AB9BDF3}" name="System A Status"/>
    <tableColumn id="5" xr3:uid="{B1B85355-84A4-4590-91EC-C4CFEB3811A3}" name="System B Status"/>
    <tableColumn id="6" xr3:uid="{5E9E3618-8B1F-405A-A7BA-158ACFDD0B20}" name="Flagged Date" dataDxfId="0"/>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208E6DA-58BC-49E0-8311-CC6C9214D640}" name="tblStateMapSource" displayName="tblStateMapSource" ref="AN2:AO26" totalsRowShown="0">
  <autoFilter ref="AN2:AO26" xr:uid="{2208E6DA-58BC-49E0-8311-CC6C9214D640}"/>
  <tableColumns count="2">
    <tableColumn id="1" xr3:uid="{742EC749-E2B6-4764-8CAF-B6A75142E964}" name="StateName"/>
    <tableColumn id="2" xr3:uid="{FD1A18C0-154E-4304-AD58-F23F20868C97}" name="Cou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table" Target="../tables/table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5FBBA-AB2E-4214-994D-722932E7A8DF}">
  <sheetPr codeName="Sheet1"/>
  <dimension ref="L1:BI164"/>
  <sheetViews>
    <sheetView showGridLines="0" tabSelected="1" topLeftCell="A44" zoomScale="70" zoomScaleNormal="70" workbookViewId="0">
      <selection activeCell="U102" sqref="U102"/>
    </sheetView>
  </sheetViews>
  <sheetFormatPr defaultRowHeight="14.4" x14ac:dyDescent="0.3"/>
  <cols>
    <col min="1" max="11" width="8.88671875" style="6"/>
    <col min="12" max="12" width="17.77734375" style="6" bestFit="1" customWidth="1"/>
    <col min="13" max="13" width="14.5546875" style="6" bestFit="1" customWidth="1"/>
    <col min="14" max="14" width="21.88671875" style="6" bestFit="1" customWidth="1"/>
    <col min="15" max="15" width="11.6640625" style="6" bestFit="1" customWidth="1"/>
    <col min="16" max="59" width="8.88671875" style="6"/>
    <col min="60" max="61" width="0" style="6" hidden="1" customWidth="1"/>
    <col min="62" max="16384" width="8.88671875" style="6"/>
  </cols>
  <sheetData>
    <row r="1" spans="60:61" x14ac:dyDescent="0.3">
      <c r="BH1" s="5">
        <f>Pivots!$A$5</f>
        <v>77</v>
      </c>
    </row>
    <row r="2" spans="60:61" x14ac:dyDescent="0.3">
      <c r="BH2" s="5">
        <f>Pivots!$B$5</f>
        <v>14</v>
      </c>
    </row>
    <row r="3" spans="60:61" x14ac:dyDescent="0.3">
      <c r="BH3" s="7">
        <f>Pivots!$C$5</f>
        <v>17.925641025641028</v>
      </c>
    </row>
    <row r="4" spans="60:61" x14ac:dyDescent="0.3">
      <c r="BH4" s="8">
        <f>INDEX(tblSlaTrend[SlaPct],COUNTA(tblSlaTrend[Label]))</f>
        <v>96.445384615384611</v>
      </c>
    </row>
    <row r="5" spans="60:61" x14ac:dyDescent="0.3">
      <c r="BH5" s="5">
        <f>Pivots!$D$5</f>
        <v>13</v>
      </c>
    </row>
    <row r="10" spans="60:61" x14ac:dyDescent="0.3">
      <c r="BH10" s="6" t="s">
        <v>234</v>
      </c>
      <c r="BI10" s="9">
        <f>Pivots!$AG$5</f>
        <v>5.8423076923076911</v>
      </c>
    </row>
    <row r="11" spans="60:61" x14ac:dyDescent="0.3">
      <c r="BH11" s="6" t="s">
        <v>235</v>
      </c>
      <c r="BI11" s="9">
        <f>Pivots!$AH$5</f>
        <v>7.1987179487179471</v>
      </c>
    </row>
    <row r="12" spans="60:61" x14ac:dyDescent="0.3">
      <c r="BH12" s="6" t="s">
        <v>236</v>
      </c>
      <c r="BI12" s="9">
        <f>Pivots!$AI$5</f>
        <v>4.8897435897435892</v>
      </c>
    </row>
    <row r="86" spans="12:15" x14ac:dyDescent="0.3">
      <c r="L86" s="6" t="s">
        <v>222</v>
      </c>
      <c r="M86" s="6" t="s">
        <v>237</v>
      </c>
      <c r="N86" s="6" t="s">
        <v>2</v>
      </c>
      <c r="O86" s="6" t="s">
        <v>8</v>
      </c>
    </row>
    <row r="87" spans="12:15" x14ac:dyDescent="0.3">
      <c r="L87" s="6" t="s">
        <v>238</v>
      </c>
      <c r="M87" s="6" t="s">
        <v>45</v>
      </c>
      <c r="N87" s="6" t="s">
        <v>34</v>
      </c>
      <c r="O87" s="6" t="s">
        <v>39</v>
      </c>
    </row>
    <row r="88" spans="12:15" x14ac:dyDescent="0.3">
      <c r="L88" s="6" t="s">
        <v>239</v>
      </c>
      <c r="M88" s="6" t="s">
        <v>53</v>
      </c>
      <c r="N88" s="6" t="s">
        <v>47</v>
      </c>
      <c r="O88" s="6" t="s">
        <v>39</v>
      </c>
    </row>
    <row r="89" spans="12:15" x14ac:dyDescent="0.3">
      <c r="L89" s="6" t="s">
        <v>240</v>
      </c>
      <c r="M89" s="6" t="s">
        <v>59</v>
      </c>
      <c r="N89" s="6" t="s">
        <v>47</v>
      </c>
      <c r="O89" s="6" t="s">
        <v>57</v>
      </c>
    </row>
    <row r="90" spans="12:15" x14ac:dyDescent="0.3">
      <c r="L90" s="6" t="s">
        <v>241</v>
      </c>
      <c r="M90" s="6" t="s">
        <v>64</v>
      </c>
      <c r="N90" s="6" t="s">
        <v>61</v>
      </c>
      <c r="O90" s="6" t="s">
        <v>39</v>
      </c>
    </row>
    <row r="91" spans="12:15" x14ac:dyDescent="0.3">
      <c r="L91" s="6" t="s">
        <v>242</v>
      </c>
      <c r="M91" s="6" t="s">
        <v>69</v>
      </c>
      <c r="N91" s="6" t="s">
        <v>66</v>
      </c>
      <c r="O91" s="6" t="s">
        <v>57</v>
      </c>
    </row>
    <row r="92" spans="12:15" x14ac:dyDescent="0.3">
      <c r="L92" s="6" t="s">
        <v>243</v>
      </c>
      <c r="M92" s="6" t="s">
        <v>76</v>
      </c>
      <c r="N92" s="6" t="s">
        <v>71</v>
      </c>
      <c r="O92" s="6" t="s">
        <v>73</v>
      </c>
    </row>
    <row r="93" spans="12:15" x14ac:dyDescent="0.3">
      <c r="L93" s="6" t="s">
        <v>244</v>
      </c>
      <c r="M93" s="6" t="s">
        <v>80</v>
      </c>
      <c r="N93" s="6" t="s">
        <v>78</v>
      </c>
      <c r="O93" s="6" t="s">
        <v>73</v>
      </c>
    </row>
    <row r="94" spans="12:15" x14ac:dyDescent="0.3">
      <c r="L94" s="6" t="s">
        <v>245</v>
      </c>
      <c r="M94" s="6" t="s">
        <v>83</v>
      </c>
      <c r="N94" s="6" t="s">
        <v>78</v>
      </c>
      <c r="O94" s="6" t="s">
        <v>73</v>
      </c>
    </row>
    <row r="95" spans="12:15" x14ac:dyDescent="0.3">
      <c r="L95" s="6" t="s">
        <v>246</v>
      </c>
      <c r="M95" s="6" t="s">
        <v>45</v>
      </c>
      <c r="N95" s="6" t="s">
        <v>34</v>
      </c>
      <c r="O95" s="6" t="s">
        <v>85</v>
      </c>
    </row>
    <row r="96" spans="12:15" x14ac:dyDescent="0.3">
      <c r="L96" s="6" t="s">
        <v>247</v>
      </c>
      <c r="M96" s="6" t="s">
        <v>92</v>
      </c>
      <c r="N96" s="6" t="s">
        <v>71</v>
      </c>
      <c r="O96" s="6" t="s">
        <v>85</v>
      </c>
    </row>
    <row r="97" spans="12:15" x14ac:dyDescent="0.3">
      <c r="L97" s="6" t="s">
        <v>248</v>
      </c>
      <c r="M97" s="6" t="s">
        <v>83</v>
      </c>
      <c r="N97" s="6" t="s">
        <v>34</v>
      </c>
      <c r="O97" s="6" t="s">
        <v>73</v>
      </c>
    </row>
    <row r="98" spans="12:15" x14ac:dyDescent="0.3">
      <c r="L98" s="6" t="s">
        <v>249</v>
      </c>
      <c r="M98" s="6" t="s">
        <v>45</v>
      </c>
      <c r="N98" s="6" t="s">
        <v>78</v>
      </c>
      <c r="O98" s="6" t="s">
        <v>73</v>
      </c>
    </row>
    <row r="99" spans="12:15" x14ac:dyDescent="0.3">
      <c r="L99" s="6" t="s">
        <v>250</v>
      </c>
      <c r="M99" s="6" t="s">
        <v>97</v>
      </c>
      <c r="N99" s="6" t="s">
        <v>78</v>
      </c>
      <c r="O99" s="6" t="s">
        <v>73</v>
      </c>
    </row>
    <row r="100" spans="12:15" x14ac:dyDescent="0.3">
      <c r="L100" s="6" t="s">
        <v>251</v>
      </c>
      <c r="M100" s="6" t="s">
        <v>102</v>
      </c>
      <c r="N100" s="6" t="s">
        <v>99</v>
      </c>
      <c r="O100" s="6" t="s">
        <v>39</v>
      </c>
    </row>
    <row r="101" spans="12:15" x14ac:dyDescent="0.3">
      <c r="L101" s="6" t="s">
        <v>252</v>
      </c>
      <c r="M101" s="6" t="s">
        <v>105</v>
      </c>
      <c r="N101" s="6" t="s">
        <v>66</v>
      </c>
      <c r="O101" s="6" t="s">
        <v>39</v>
      </c>
    </row>
    <row r="102" spans="12:15" x14ac:dyDescent="0.3">
      <c r="L102" s="6" t="s">
        <v>253</v>
      </c>
      <c r="M102" s="6" t="s">
        <v>64</v>
      </c>
      <c r="N102" s="6" t="s">
        <v>34</v>
      </c>
      <c r="O102" s="6" t="s">
        <v>57</v>
      </c>
    </row>
    <row r="103" spans="12:15" x14ac:dyDescent="0.3">
      <c r="L103" s="6" t="s">
        <v>254</v>
      </c>
      <c r="M103" s="6" t="s">
        <v>80</v>
      </c>
      <c r="N103" s="6" t="s">
        <v>34</v>
      </c>
      <c r="O103" s="6" t="s">
        <v>85</v>
      </c>
    </row>
    <row r="104" spans="12:15" x14ac:dyDescent="0.3">
      <c r="L104" s="6" t="s">
        <v>255</v>
      </c>
      <c r="M104" s="6" t="s">
        <v>45</v>
      </c>
      <c r="N104" s="6" t="s">
        <v>34</v>
      </c>
      <c r="O104" s="6" t="s">
        <v>109</v>
      </c>
    </row>
    <row r="105" spans="12:15" x14ac:dyDescent="0.3">
      <c r="L105" s="6" t="s">
        <v>256</v>
      </c>
      <c r="M105" s="6" t="s">
        <v>112</v>
      </c>
      <c r="N105" s="6" t="s">
        <v>71</v>
      </c>
      <c r="O105" s="6" t="s">
        <v>109</v>
      </c>
    </row>
    <row r="106" spans="12:15" x14ac:dyDescent="0.3">
      <c r="L106" s="6" t="s">
        <v>257</v>
      </c>
      <c r="M106" s="6" t="s">
        <v>83</v>
      </c>
      <c r="N106" s="6" t="s">
        <v>47</v>
      </c>
      <c r="O106" s="6" t="s">
        <v>57</v>
      </c>
    </row>
    <row r="107" spans="12:15" x14ac:dyDescent="0.3">
      <c r="L107" s="6" t="s">
        <v>258</v>
      </c>
      <c r="M107" s="6" t="s">
        <v>116</v>
      </c>
      <c r="N107" s="6" t="s">
        <v>71</v>
      </c>
      <c r="O107" s="6" t="s">
        <v>39</v>
      </c>
    </row>
    <row r="108" spans="12:15" x14ac:dyDescent="0.3">
      <c r="L108" s="6" t="s">
        <v>259</v>
      </c>
      <c r="M108" s="6" t="s">
        <v>105</v>
      </c>
      <c r="N108" s="6" t="s">
        <v>78</v>
      </c>
      <c r="O108" s="6" t="s">
        <v>57</v>
      </c>
    </row>
    <row r="109" spans="12:15" x14ac:dyDescent="0.3">
      <c r="L109" s="6" t="s">
        <v>260</v>
      </c>
      <c r="M109" s="6" t="s">
        <v>121</v>
      </c>
      <c r="N109" s="6" t="s">
        <v>119</v>
      </c>
      <c r="O109" s="6" t="s">
        <v>57</v>
      </c>
    </row>
    <row r="110" spans="12:15" x14ac:dyDescent="0.3">
      <c r="L110" s="6" t="s">
        <v>261</v>
      </c>
      <c r="M110" s="6" t="s">
        <v>69</v>
      </c>
      <c r="N110" s="6" t="s">
        <v>99</v>
      </c>
      <c r="O110" s="6" t="s">
        <v>57</v>
      </c>
    </row>
    <row r="111" spans="12:15" x14ac:dyDescent="0.3">
      <c r="L111" s="6" t="s">
        <v>262</v>
      </c>
      <c r="M111" s="6" t="s">
        <v>92</v>
      </c>
      <c r="N111" s="6" t="s">
        <v>47</v>
      </c>
      <c r="O111" s="6" t="s">
        <v>73</v>
      </c>
    </row>
    <row r="112" spans="12:15" x14ac:dyDescent="0.3">
      <c r="L112" s="6" t="s">
        <v>263</v>
      </c>
      <c r="M112" s="6" t="s">
        <v>112</v>
      </c>
      <c r="N112" s="6" t="s">
        <v>66</v>
      </c>
      <c r="O112" s="6" t="s">
        <v>57</v>
      </c>
    </row>
    <row r="113" spans="12:15" x14ac:dyDescent="0.3">
      <c r="L113" s="6" t="s">
        <v>264</v>
      </c>
      <c r="M113" s="6" t="s">
        <v>45</v>
      </c>
      <c r="N113" s="6" t="s">
        <v>61</v>
      </c>
      <c r="O113" s="6" t="s">
        <v>85</v>
      </c>
    </row>
    <row r="114" spans="12:15" x14ac:dyDescent="0.3">
      <c r="L114" s="6" t="s">
        <v>265</v>
      </c>
      <c r="M114" s="6" t="s">
        <v>53</v>
      </c>
      <c r="N114" s="6" t="s">
        <v>99</v>
      </c>
      <c r="O114" s="6" t="s">
        <v>39</v>
      </c>
    </row>
    <row r="115" spans="12:15" x14ac:dyDescent="0.3">
      <c r="L115" s="6" t="s">
        <v>266</v>
      </c>
      <c r="M115" s="6" t="s">
        <v>92</v>
      </c>
      <c r="N115" s="6" t="s">
        <v>71</v>
      </c>
      <c r="O115" s="6" t="s">
        <v>57</v>
      </c>
    </row>
    <row r="116" spans="12:15" x14ac:dyDescent="0.3">
      <c r="L116" s="6" t="s">
        <v>267</v>
      </c>
      <c r="M116" s="6" t="s">
        <v>64</v>
      </c>
      <c r="N116" s="6" t="s">
        <v>119</v>
      </c>
      <c r="O116" s="6" t="s">
        <v>85</v>
      </c>
    </row>
    <row r="117" spans="12:15" x14ac:dyDescent="0.3">
      <c r="L117" s="6" t="s">
        <v>268</v>
      </c>
      <c r="M117" s="6" t="s">
        <v>97</v>
      </c>
      <c r="N117" s="6" t="s">
        <v>47</v>
      </c>
      <c r="O117" s="6" t="s">
        <v>39</v>
      </c>
    </row>
    <row r="118" spans="12:15" x14ac:dyDescent="0.3">
      <c r="L118" s="6" t="s">
        <v>269</v>
      </c>
      <c r="M118" s="6" t="s">
        <v>105</v>
      </c>
      <c r="N118" s="6" t="s">
        <v>34</v>
      </c>
      <c r="O118" s="6" t="s">
        <v>57</v>
      </c>
    </row>
    <row r="119" spans="12:15" x14ac:dyDescent="0.3">
      <c r="L119" s="6" t="s">
        <v>270</v>
      </c>
      <c r="M119" s="6" t="s">
        <v>116</v>
      </c>
      <c r="N119" s="6" t="s">
        <v>61</v>
      </c>
      <c r="O119" s="6" t="s">
        <v>57</v>
      </c>
    </row>
    <row r="120" spans="12:15" x14ac:dyDescent="0.3">
      <c r="L120" s="6" t="s">
        <v>271</v>
      </c>
      <c r="M120" s="6" t="s">
        <v>134</v>
      </c>
      <c r="N120" s="6" t="s">
        <v>34</v>
      </c>
      <c r="O120" s="6" t="s">
        <v>39</v>
      </c>
    </row>
    <row r="121" spans="12:15" x14ac:dyDescent="0.3">
      <c r="L121" s="6" t="s">
        <v>272</v>
      </c>
      <c r="M121" s="6" t="s">
        <v>53</v>
      </c>
      <c r="N121" s="6" t="s">
        <v>34</v>
      </c>
      <c r="O121" s="6" t="s">
        <v>39</v>
      </c>
    </row>
    <row r="122" spans="12:15" x14ac:dyDescent="0.3">
      <c r="L122" s="6" t="s">
        <v>273</v>
      </c>
      <c r="M122" s="6" t="s">
        <v>105</v>
      </c>
      <c r="N122" s="6" t="s">
        <v>78</v>
      </c>
      <c r="O122" s="6" t="s">
        <v>109</v>
      </c>
    </row>
    <row r="123" spans="12:15" x14ac:dyDescent="0.3">
      <c r="L123" s="6" t="s">
        <v>274</v>
      </c>
      <c r="M123" s="6" t="s">
        <v>45</v>
      </c>
      <c r="N123" s="6" t="s">
        <v>66</v>
      </c>
      <c r="O123" s="6" t="s">
        <v>57</v>
      </c>
    </row>
    <row r="124" spans="12:15" x14ac:dyDescent="0.3">
      <c r="L124" s="6" t="s">
        <v>275</v>
      </c>
      <c r="M124" s="6" t="s">
        <v>45</v>
      </c>
      <c r="N124" s="6" t="s">
        <v>47</v>
      </c>
      <c r="O124" s="6" t="s">
        <v>57</v>
      </c>
    </row>
    <row r="125" spans="12:15" x14ac:dyDescent="0.3">
      <c r="L125" s="6" t="s">
        <v>276</v>
      </c>
      <c r="M125" s="6" t="s">
        <v>53</v>
      </c>
      <c r="N125" s="6" t="s">
        <v>78</v>
      </c>
      <c r="O125" s="6" t="s">
        <v>39</v>
      </c>
    </row>
    <row r="126" spans="12:15" x14ac:dyDescent="0.3">
      <c r="L126" s="6" t="s">
        <v>277</v>
      </c>
      <c r="M126" s="6" t="s">
        <v>105</v>
      </c>
      <c r="N126" s="6" t="s">
        <v>66</v>
      </c>
      <c r="O126" s="6" t="s">
        <v>109</v>
      </c>
    </row>
    <row r="127" spans="12:15" x14ac:dyDescent="0.3">
      <c r="L127" s="6" t="s">
        <v>278</v>
      </c>
      <c r="M127" s="6" t="s">
        <v>143</v>
      </c>
      <c r="N127" s="6" t="s">
        <v>99</v>
      </c>
      <c r="O127" s="6" t="s">
        <v>57</v>
      </c>
    </row>
    <row r="128" spans="12:15" x14ac:dyDescent="0.3">
      <c r="L128" s="6" t="s">
        <v>279</v>
      </c>
      <c r="M128" s="6" t="s">
        <v>147</v>
      </c>
      <c r="N128" s="6" t="s">
        <v>66</v>
      </c>
      <c r="O128" s="6" t="s">
        <v>57</v>
      </c>
    </row>
    <row r="129" spans="12:15" x14ac:dyDescent="0.3">
      <c r="L129" s="6" t="s">
        <v>280</v>
      </c>
      <c r="M129" s="6" t="s">
        <v>121</v>
      </c>
      <c r="N129" s="6" t="s">
        <v>78</v>
      </c>
      <c r="O129" s="6" t="s">
        <v>73</v>
      </c>
    </row>
    <row r="130" spans="12:15" x14ac:dyDescent="0.3">
      <c r="L130" s="6" t="s">
        <v>281</v>
      </c>
      <c r="M130" s="6" t="s">
        <v>151</v>
      </c>
      <c r="N130" s="6" t="s">
        <v>61</v>
      </c>
      <c r="O130" s="6" t="s">
        <v>73</v>
      </c>
    </row>
    <row r="131" spans="12:15" x14ac:dyDescent="0.3">
      <c r="L131" s="6" t="s">
        <v>282</v>
      </c>
      <c r="M131" s="6" t="s">
        <v>116</v>
      </c>
      <c r="N131" s="6" t="s">
        <v>71</v>
      </c>
      <c r="O131" s="6" t="s">
        <v>73</v>
      </c>
    </row>
    <row r="132" spans="12:15" x14ac:dyDescent="0.3">
      <c r="L132" s="6" t="s">
        <v>283</v>
      </c>
      <c r="M132" s="6" t="s">
        <v>105</v>
      </c>
      <c r="N132" s="6" t="s">
        <v>119</v>
      </c>
      <c r="O132" s="6" t="s">
        <v>57</v>
      </c>
    </row>
    <row r="133" spans="12:15" x14ac:dyDescent="0.3">
      <c r="L133" s="6" t="s">
        <v>284</v>
      </c>
      <c r="M133" s="6" t="s">
        <v>121</v>
      </c>
      <c r="N133" s="6" t="s">
        <v>66</v>
      </c>
      <c r="O133" s="6" t="s">
        <v>109</v>
      </c>
    </row>
    <row r="134" spans="12:15" x14ac:dyDescent="0.3">
      <c r="L134" s="6" t="s">
        <v>285</v>
      </c>
      <c r="M134" s="6" t="s">
        <v>134</v>
      </c>
      <c r="N134" s="6" t="s">
        <v>34</v>
      </c>
      <c r="O134" s="6" t="s">
        <v>57</v>
      </c>
    </row>
    <row r="135" spans="12:15" x14ac:dyDescent="0.3">
      <c r="L135" s="6" t="s">
        <v>286</v>
      </c>
      <c r="M135" s="6" t="s">
        <v>143</v>
      </c>
      <c r="N135" s="6" t="s">
        <v>78</v>
      </c>
      <c r="O135" s="6" t="s">
        <v>39</v>
      </c>
    </row>
    <row r="136" spans="12:15" x14ac:dyDescent="0.3">
      <c r="L136" s="6" t="s">
        <v>287</v>
      </c>
      <c r="M136" s="6" t="s">
        <v>53</v>
      </c>
      <c r="N136" s="6" t="s">
        <v>119</v>
      </c>
      <c r="O136" s="6" t="s">
        <v>39</v>
      </c>
    </row>
    <row r="137" spans="12:15" x14ac:dyDescent="0.3">
      <c r="L137" s="6" t="s">
        <v>288</v>
      </c>
      <c r="M137" s="6" t="s">
        <v>69</v>
      </c>
      <c r="N137" s="6" t="s">
        <v>47</v>
      </c>
      <c r="O137" s="6" t="s">
        <v>39</v>
      </c>
    </row>
    <row r="138" spans="12:15" x14ac:dyDescent="0.3">
      <c r="L138" s="6" t="s">
        <v>289</v>
      </c>
      <c r="M138" s="6" t="s">
        <v>83</v>
      </c>
      <c r="N138" s="6" t="s">
        <v>99</v>
      </c>
      <c r="O138" s="6" t="s">
        <v>39</v>
      </c>
    </row>
    <row r="139" spans="12:15" x14ac:dyDescent="0.3">
      <c r="L139" s="6" t="s">
        <v>290</v>
      </c>
      <c r="M139" s="6" t="s">
        <v>105</v>
      </c>
      <c r="N139" s="6" t="s">
        <v>71</v>
      </c>
      <c r="O139" s="6" t="s">
        <v>39</v>
      </c>
    </row>
    <row r="140" spans="12:15" x14ac:dyDescent="0.3">
      <c r="L140" s="6" t="s">
        <v>291</v>
      </c>
      <c r="M140" s="6" t="s">
        <v>143</v>
      </c>
      <c r="N140" s="6" t="s">
        <v>66</v>
      </c>
      <c r="O140" s="6" t="s">
        <v>85</v>
      </c>
    </row>
    <row r="141" spans="12:15" x14ac:dyDescent="0.3">
      <c r="L141" s="6" t="s">
        <v>292</v>
      </c>
      <c r="M141" s="6" t="s">
        <v>134</v>
      </c>
      <c r="N141" s="6" t="s">
        <v>99</v>
      </c>
      <c r="O141" s="6" t="s">
        <v>57</v>
      </c>
    </row>
    <row r="142" spans="12:15" x14ac:dyDescent="0.3">
      <c r="L142" s="6" t="s">
        <v>293</v>
      </c>
      <c r="M142" s="6" t="s">
        <v>105</v>
      </c>
      <c r="N142" s="6" t="s">
        <v>119</v>
      </c>
      <c r="O142" s="6" t="s">
        <v>39</v>
      </c>
    </row>
    <row r="143" spans="12:15" x14ac:dyDescent="0.3">
      <c r="L143" s="6" t="s">
        <v>294</v>
      </c>
      <c r="M143" s="6" t="s">
        <v>83</v>
      </c>
      <c r="N143" s="6" t="s">
        <v>47</v>
      </c>
      <c r="O143" s="6" t="s">
        <v>57</v>
      </c>
    </row>
    <row r="144" spans="12:15" x14ac:dyDescent="0.3">
      <c r="L144" s="6" t="s">
        <v>295</v>
      </c>
      <c r="M144" s="6" t="s">
        <v>116</v>
      </c>
      <c r="N144" s="6" t="s">
        <v>78</v>
      </c>
      <c r="O144" s="6" t="s">
        <v>73</v>
      </c>
    </row>
    <row r="145" spans="12:15" x14ac:dyDescent="0.3">
      <c r="L145" s="6" t="s">
        <v>296</v>
      </c>
      <c r="M145" s="6" t="s">
        <v>134</v>
      </c>
      <c r="N145" s="6" t="s">
        <v>34</v>
      </c>
      <c r="O145" s="6" t="s">
        <v>109</v>
      </c>
    </row>
    <row r="146" spans="12:15" x14ac:dyDescent="0.3">
      <c r="L146" s="6" t="s">
        <v>297</v>
      </c>
      <c r="M146" s="6" t="s">
        <v>105</v>
      </c>
      <c r="N146" s="6" t="s">
        <v>71</v>
      </c>
      <c r="O146" s="6" t="s">
        <v>57</v>
      </c>
    </row>
    <row r="147" spans="12:15" x14ac:dyDescent="0.3">
      <c r="L147" s="6" t="s">
        <v>298</v>
      </c>
      <c r="M147" s="6" t="s">
        <v>116</v>
      </c>
      <c r="N147" s="6" t="s">
        <v>99</v>
      </c>
      <c r="O147" s="6" t="s">
        <v>57</v>
      </c>
    </row>
    <row r="148" spans="12:15" x14ac:dyDescent="0.3">
      <c r="L148" s="6" t="s">
        <v>299</v>
      </c>
      <c r="M148" s="6" t="s">
        <v>147</v>
      </c>
      <c r="N148" s="6" t="s">
        <v>34</v>
      </c>
      <c r="O148" s="6" t="s">
        <v>85</v>
      </c>
    </row>
    <row r="149" spans="12:15" x14ac:dyDescent="0.3">
      <c r="L149" s="6" t="s">
        <v>300</v>
      </c>
      <c r="M149" s="6" t="s">
        <v>45</v>
      </c>
      <c r="N149" s="6" t="s">
        <v>34</v>
      </c>
      <c r="O149" s="6" t="s">
        <v>39</v>
      </c>
    </row>
    <row r="150" spans="12:15" x14ac:dyDescent="0.3">
      <c r="L150" s="6" t="s">
        <v>301</v>
      </c>
      <c r="M150" s="6" t="s">
        <v>105</v>
      </c>
      <c r="N150" s="6" t="s">
        <v>47</v>
      </c>
      <c r="O150" s="6" t="s">
        <v>57</v>
      </c>
    </row>
    <row r="151" spans="12:15" x14ac:dyDescent="0.3">
      <c r="L151" s="6" t="s">
        <v>302</v>
      </c>
      <c r="M151" s="6" t="s">
        <v>121</v>
      </c>
      <c r="N151" s="6" t="s">
        <v>78</v>
      </c>
      <c r="O151" s="6" t="s">
        <v>39</v>
      </c>
    </row>
    <row r="152" spans="12:15" x14ac:dyDescent="0.3">
      <c r="L152" s="6" t="s">
        <v>303</v>
      </c>
      <c r="M152" s="6" t="s">
        <v>76</v>
      </c>
      <c r="N152" s="6" t="s">
        <v>119</v>
      </c>
      <c r="O152" s="6" t="s">
        <v>39</v>
      </c>
    </row>
    <row r="153" spans="12:15" x14ac:dyDescent="0.3">
      <c r="L153" s="6" t="s">
        <v>304</v>
      </c>
      <c r="M153" s="6" t="s">
        <v>112</v>
      </c>
      <c r="N153" s="6" t="s">
        <v>78</v>
      </c>
      <c r="O153" s="6" t="s">
        <v>39</v>
      </c>
    </row>
    <row r="154" spans="12:15" x14ac:dyDescent="0.3">
      <c r="L154" s="6" t="s">
        <v>305</v>
      </c>
      <c r="M154" s="6" t="s">
        <v>53</v>
      </c>
      <c r="N154" s="6" t="s">
        <v>99</v>
      </c>
      <c r="O154" s="6" t="s">
        <v>85</v>
      </c>
    </row>
    <row r="155" spans="12:15" x14ac:dyDescent="0.3">
      <c r="L155" s="6" t="s">
        <v>306</v>
      </c>
      <c r="M155" s="6" t="s">
        <v>92</v>
      </c>
      <c r="N155" s="6" t="s">
        <v>99</v>
      </c>
      <c r="O155" s="6" t="s">
        <v>85</v>
      </c>
    </row>
    <row r="156" spans="12:15" x14ac:dyDescent="0.3">
      <c r="L156" s="6" t="s">
        <v>307</v>
      </c>
      <c r="M156" s="6" t="s">
        <v>105</v>
      </c>
      <c r="N156" s="6" t="s">
        <v>71</v>
      </c>
      <c r="O156" s="6" t="s">
        <v>73</v>
      </c>
    </row>
    <row r="157" spans="12:15" x14ac:dyDescent="0.3">
      <c r="L157" s="6" t="s">
        <v>308</v>
      </c>
      <c r="M157" s="6" t="s">
        <v>76</v>
      </c>
      <c r="N157" s="6" t="s">
        <v>99</v>
      </c>
      <c r="O157" s="6" t="s">
        <v>85</v>
      </c>
    </row>
    <row r="158" spans="12:15" x14ac:dyDescent="0.3">
      <c r="L158" s="6" t="s">
        <v>309</v>
      </c>
      <c r="M158" s="6" t="s">
        <v>64</v>
      </c>
      <c r="N158" s="6" t="s">
        <v>66</v>
      </c>
      <c r="O158" s="6" t="s">
        <v>39</v>
      </c>
    </row>
    <row r="159" spans="12:15" x14ac:dyDescent="0.3">
      <c r="L159" s="6" t="s">
        <v>310</v>
      </c>
      <c r="M159" s="6" t="s">
        <v>186</v>
      </c>
      <c r="N159" s="6" t="s">
        <v>34</v>
      </c>
      <c r="O159" s="6" t="s">
        <v>73</v>
      </c>
    </row>
    <row r="160" spans="12:15" x14ac:dyDescent="0.3">
      <c r="L160" s="6" t="s">
        <v>311</v>
      </c>
      <c r="M160" s="6" t="s">
        <v>53</v>
      </c>
      <c r="N160" s="6" t="s">
        <v>61</v>
      </c>
      <c r="O160" s="6" t="s">
        <v>39</v>
      </c>
    </row>
    <row r="161" spans="12:15" x14ac:dyDescent="0.3">
      <c r="L161" s="6" t="s">
        <v>312</v>
      </c>
      <c r="M161" s="6" t="s">
        <v>105</v>
      </c>
      <c r="N161" s="6" t="s">
        <v>34</v>
      </c>
      <c r="O161" s="6" t="s">
        <v>39</v>
      </c>
    </row>
    <row r="162" spans="12:15" x14ac:dyDescent="0.3">
      <c r="L162" s="6" t="s">
        <v>313</v>
      </c>
      <c r="M162" s="6" t="s">
        <v>191</v>
      </c>
      <c r="N162" s="6" t="s">
        <v>47</v>
      </c>
      <c r="O162" s="6" t="s">
        <v>85</v>
      </c>
    </row>
    <row r="163" spans="12:15" x14ac:dyDescent="0.3">
      <c r="L163" s="6" t="s">
        <v>314</v>
      </c>
      <c r="M163" s="6" t="s">
        <v>53</v>
      </c>
      <c r="N163" s="6" t="s">
        <v>78</v>
      </c>
      <c r="O163" s="6" t="s">
        <v>85</v>
      </c>
    </row>
    <row r="164" spans="12:15" x14ac:dyDescent="0.3">
      <c r="L164" s="6" t="s">
        <v>315</v>
      </c>
      <c r="M164" s="6" t="s">
        <v>45</v>
      </c>
      <c r="N164" s="6" t="s">
        <v>99</v>
      </c>
      <c r="O164" s="6" t="s">
        <v>57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37BAC-8084-4E8D-BC93-9E7C9B8D26E2}">
  <dimension ref="A1:BH122"/>
  <sheetViews>
    <sheetView showGridLines="0" showRowColHeaders="0" zoomScale="70" zoomScaleNormal="70" workbookViewId="0">
      <selection activeCell="AH7" sqref="AH7"/>
    </sheetView>
  </sheetViews>
  <sheetFormatPr defaultRowHeight="14.4" x14ac:dyDescent="0.3"/>
  <sheetData>
    <row r="1" spans="1:60" x14ac:dyDescent="0.3">
      <c r="A1" s="10"/>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c r="AU1" s="10"/>
      <c r="AV1" s="10"/>
      <c r="AW1" s="10"/>
      <c r="AX1" s="10"/>
      <c r="AY1" s="10"/>
      <c r="AZ1" s="10"/>
      <c r="BA1" s="10"/>
      <c r="BB1" s="10"/>
      <c r="BC1" s="10"/>
      <c r="BD1" s="10"/>
      <c r="BE1" s="10"/>
      <c r="BF1" s="10"/>
      <c r="BG1" s="10"/>
      <c r="BH1" s="10"/>
    </row>
    <row r="2" spans="1:60" x14ac:dyDescent="0.3">
      <c r="A2" s="10"/>
      <c r="B2" s="10"/>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0"/>
    </row>
    <row r="3" spans="1:60" x14ac:dyDescent="0.3">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row>
    <row r="4" spans="1:60" x14ac:dyDescent="0.3">
      <c r="A4" s="10"/>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c r="AY4" s="10"/>
      <c r="AZ4" s="10"/>
      <c r="BA4" s="10"/>
      <c r="BB4" s="10"/>
      <c r="BC4" s="10"/>
      <c r="BD4" s="10"/>
      <c r="BE4" s="10"/>
      <c r="BF4" s="10"/>
      <c r="BG4" s="10"/>
      <c r="BH4" s="10"/>
    </row>
    <row r="5" spans="1:60" x14ac:dyDescent="0.3">
      <c r="A5" s="10"/>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row>
    <row r="6" spans="1:60" x14ac:dyDescent="0.3">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row>
    <row r="7" spans="1:60" x14ac:dyDescent="0.3">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row>
    <row r="8" spans="1:60" x14ac:dyDescent="0.3">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row>
    <row r="9" spans="1:60" x14ac:dyDescent="0.3">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c r="AZ9" s="10"/>
      <c r="BA9" s="10"/>
      <c r="BB9" s="10"/>
      <c r="BC9" s="10"/>
      <c r="BD9" s="10"/>
      <c r="BE9" s="10"/>
      <c r="BF9" s="10"/>
      <c r="BG9" s="10"/>
      <c r="BH9" s="10"/>
    </row>
    <row r="10" spans="1:60" x14ac:dyDescent="0.3">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row>
    <row r="11" spans="1:60" x14ac:dyDescent="0.3">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row>
    <row r="12" spans="1:60" x14ac:dyDescent="0.3">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row>
    <row r="13" spans="1:60" x14ac:dyDescent="0.3">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row>
    <row r="14" spans="1:60" x14ac:dyDescent="0.3">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row>
    <row r="15" spans="1:60" x14ac:dyDescent="0.3">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row>
    <row r="16" spans="1:60" x14ac:dyDescent="0.3">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row>
    <row r="17" spans="1:60" x14ac:dyDescent="0.3">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row>
    <row r="18" spans="1:60" x14ac:dyDescent="0.3">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row>
    <row r="19" spans="1:60" x14ac:dyDescent="0.3">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row>
    <row r="20" spans="1:60" x14ac:dyDescent="0.3">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row>
    <row r="21" spans="1:60" x14ac:dyDescent="0.3">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row>
    <row r="22" spans="1:60" x14ac:dyDescent="0.3">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10"/>
      <c r="BH22" s="10"/>
    </row>
    <row r="23" spans="1:60" x14ac:dyDescent="0.3">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10"/>
      <c r="BH23" s="10"/>
    </row>
    <row r="24" spans="1:60" x14ac:dyDescent="0.3">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row>
    <row r="25" spans="1:60" x14ac:dyDescent="0.3">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10"/>
      <c r="BH25" s="10"/>
    </row>
    <row r="26" spans="1:60" x14ac:dyDescent="0.3">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row>
    <row r="27" spans="1:60" x14ac:dyDescent="0.3">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row>
    <row r="28" spans="1:60" x14ac:dyDescent="0.3">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row>
    <row r="29" spans="1:60" x14ac:dyDescent="0.3">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row>
    <row r="30" spans="1:60" x14ac:dyDescent="0.3">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row>
    <row r="31" spans="1:60" x14ac:dyDescent="0.3">
      <c r="A31" s="10"/>
      <c r="B31" s="10"/>
      <c r="C31" s="10"/>
      <c r="D31" s="10"/>
      <c r="E31" s="10"/>
      <c r="F31" s="10"/>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10"/>
    </row>
    <row r="32" spans="1:60" x14ac:dyDescent="0.3">
      <c r="A32" s="10"/>
      <c r="B32" s="10"/>
      <c r="C32" s="10"/>
      <c r="D32" s="10"/>
      <c r="E32" s="10"/>
      <c r="F32" s="10"/>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row>
    <row r="33" spans="1:60" x14ac:dyDescent="0.3">
      <c r="A33" s="10"/>
      <c r="B33" s="10"/>
      <c r="C33" s="10"/>
      <c r="D33" s="10"/>
      <c r="E33" s="10"/>
      <c r="F33" s="10"/>
      <c r="G33" s="10"/>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
      <c r="BH33" s="10"/>
    </row>
    <row r="34" spans="1:60" x14ac:dyDescent="0.3">
      <c r="A34" s="10"/>
      <c r="B34" s="10"/>
      <c r="C34" s="10"/>
      <c r="D34" s="10"/>
      <c r="E34" s="10"/>
      <c r="F34" s="10"/>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c r="BH34" s="10"/>
    </row>
    <row r="35" spans="1:60" x14ac:dyDescent="0.3">
      <c r="A35" s="10"/>
      <c r="B35" s="10"/>
      <c r="C35" s="10"/>
      <c r="D35" s="10"/>
      <c r="E35" s="10"/>
      <c r="F35" s="10"/>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
      <c r="BH35" s="10"/>
    </row>
    <row r="36" spans="1:60" x14ac:dyDescent="0.3">
      <c r="A36" s="10"/>
      <c r="B36" s="10"/>
      <c r="C36" s="10"/>
      <c r="D36" s="10"/>
      <c r="E36" s="10"/>
      <c r="F36" s="10"/>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
      <c r="BH36" s="10"/>
    </row>
    <row r="37" spans="1:60" x14ac:dyDescent="0.3">
      <c r="A37" s="10"/>
      <c r="B37" s="10"/>
      <c r="C37" s="10"/>
      <c r="D37" s="10"/>
      <c r="E37" s="10"/>
      <c r="F37" s="10"/>
      <c r="G37" s="10"/>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c r="AG37" s="10"/>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10"/>
      <c r="BH37" s="10"/>
    </row>
    <row r="38" spans="1:60" x14ac:dyDescent="0.3">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row>
    <row r="39" spans="1:60" x14ac:dyDescent="0.3">
      <c r="A39" s="10"/>
      <c r="B39" s="10"/>
      <c r="C39" s="10"/>
      <c r="D39" s="10"/>
      <c r="E39" s="10"/>
      <c r="F39" s="10"/>
      <c r="G39" s="10"/>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
      <c r="BH39" s="10"/>
    </row>
    <row r="40" spans="1:60" x14ac:dyDescent="0.3">
      <c r="A40" s="10"/>
      <c r="B40" s="10"/>
      <c r="C40" s="10"/>
      <c r="D40" s="10"/>
      <c r="E40" s="10"/>
      <c r="F40" s="10"/>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row>
    <row r="41" spans="1:60" x14ac:dyDescent="0.3">
      <c r="A41" s="10"/>
      <c r="B41" s="10"/>
      <c r="C41" s="10"/>
      <c r="D41" s="10"/>
      <c r="E41" s="10"/>
      <c r="F41" s="10"/>
      <c r="G41" s="10"/>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c r="AG41" s="10"/>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10"/>
      <c r="BH41" s="10"/>
    </row>
    <row r="42" spans="1:60" x14ac:dyDescent="0.3">
      <c r="A42" s="10"/>
      <c r="B42" s="10"/>
      <c r="C42" s="10"/>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row>
    <row r="43" spans="1:60" x14ac:dyDescent="0.3">
      <c r="A43" s="10"/>
      <c r="B43" s="10"/>
      <c r="C43" s="10"/>
      <c r="D43" s="10"/>
      <c r="E43" s="10"/>
      <c r="F43" s="10"/>
      <c r="G43" s="10"/>
      <c r="H43" s="10"/>
      <c r="I43" s="10"/>
      <c r="J43" s="10"/>
      <c r="K43" s="10"/>
      <c r="L43" s="10"/>
      <c r="M43" s="10"/>
      <c r="N43" s="10"/>
      <c r="O43" s="10"/>
      <c r="P43" s="10"/>
      <c r="Q43" s="10"/>
      <c r="R43" s="10"/>
      <c r="S43" s="10"/>
      <c r="T43" s="10"/>
      <c r="U43" s="10"/>
      <c r="V43" s="10"/>
      <c r="W43" s="10"/>
      <c r="X43" s="10"/>
      <c r="Y43" s="10"/>
      <c r="Z43" s="10"/>
      <c r="AA43" s="10"/>
      <c r="AB43" s="10"/>
      <c r="AC43" s="10"/>
      <c r="AD43" s="10"/>
      <c r="AE43" s="10"/>
      <c r="AF43" s="10"/>
      <c r="AG43" s="10"/>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10"/>
      <c r="BH43" s="10"/>
    </row>
    <row r="44" spans="1:60" x14ac:dyDescent="0.3">
      <c r="A44" s="10"/>
      <c r="B44" s="10"/>
      <c r="C44" s="10"/>
      <c r="D44" s="10"/>
      <c r="E44" s="10"/>
      <c r="F44" s="10"/>
      <c r="G44" s="10"/>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c r="AG44" s="10"/>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c r="BG44" s="10"/>
      <c r="BH44" s="10"/>
    </row>
    <row r="45" spans="1:60" x14ac:dyDescent="0.3">
      <c r="A45" s="10"/>
      <c r="B45" s="10"/>
      <c r="C45" s="10"/>
      <c r="D45" s="10"/>
      <c r="E45" s="10"/>
      <c r="F45" s="10"/>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10"/>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
      <c r="BH45" s="10"/>
    </row>
    <row r="46" spans="1:60" x14ac:dyDescent="0.3">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10"/>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
      <c r="BH46" s="10"/>
    </row>
    <row r="47" spans="1:60" x14ac:dyDescent="0.3">
      <c r="A47" s="10"/>
      <c r="B47" s="10"/>
      <c r="C47" s="10"/>
      <c r="D47" s="10"/>
      <c r="E47" s="10"/>
      <c r="F47" s="10"/>
      <c r="G47" s="10"/>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row>
    <row r="48" spans="1:60" x14ac:dyDescent="0.3">
      <c r="A48" s="10"/>
      <c r="B48" s="10"/>
      <c r="C48" s="10"/>
      <c r="D48" s="10"/>
      <c r="E48" s="10"/>
      <c r="F48" s="10"/>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10"/>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10"/>
      <c r="BH48" s="10"/>
    </row>
    <row r="49" spans="1:60" x14ac:dyDescent="0.3">
      <c r="A49" s="10"/>
      <c r="B49" s="10"/>
      <c r="C49" s="10"/>
      <c r="D49" s="10"/>
      <c r="E49" s="10"/>
      <c r="F49" s="10"/>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row>
    <row r="50" spans="1:60" x14ac:dyDescent="0.3">
      <c r="A50" s="10"/>
      <c r="B50" s="10"/>
      <c r="C50" s="10"/>
      <c r="D50" s="10"/>
      <c r="E50" s="10"/>
      <c r="F50" s="10"/>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row>
    <row r="51" spans="1:60" x14ac:dyDescent="0.3">
      <c r="A51" s="10"/>
      <c r="B51" s="10"/>
      <c r="C51" s="10"/>
      <c r="D51" s="10"/>
      <c r="E51" s="10"/>
      <c r="F51" s="10"/>
      <c r="G51" s="10"/>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10"/>
      <c r="AH51" s="10"/>
      <c r="AI51" s="10"/>
      <c r="AJ51" s="10"/>
      <c r="AK51" s="10"/>
      <c r="AL51" s="10"/>
      <c r="AM51" s="10"/>
      <c r="AN51" s="10"/>
      <c r="AO51" s="10"/>
      <c r="AP51" s="10"/>
      <c r="AQ51" s="10"/>
      <c r="AR51" s="10"/>
      <c r="AS51" s="10"/>
      <c r="AT51" s="10"/>
      <c r="AU51" s="10"/>
      <c r="AV51" s="10"/>
      <c r="AW51" s="10"/>
      <c r="AX51" s="10"/>
      <c r="AY51" s="10"/>
      <c r="AZ51" s="10"/>
      <c r="BA51" s="10"/>
      <c r="BB51" s="10"/>
      <c r="BC51" s="10"/>
      <c r="BD51" s="10"/>
      <c r="BE51" s="10"/>
      <c r="BF51" s="10"/>
      <c r="BG51" s="10"/>
      <c r="BH51" s="10"/>
    </row>
    <row r="52" spans="1:60" x14ac:dyDescent="0.3">
      <c r="A52" s="10"/>
      <c r="B52" s="10"/>
      <c r="C52" s="10"/>
      <c r="D52" s="10"/>
      <c r="E52" s="10"/>
      <c r="F52" s="10"/>
      <c r="G52" s="10"/>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c r="AG52" s="10"/>
      <c r="AH52" s="10"/>
      <c r="AI52" s="10"/>
      <c r="AJ52" s="10"/>
      <c r="AK52" s="10"/>
      <c r="AL52" s="10"/>
      <c r="AM52" s="10"/>
      <c r="AN52" s="10"/>
      <c r="AO52" s="10"/>
      <c r="AP52" s="10"/>
      <c r="AQ52" s="10"/>
      <c r="AR52" s="10"/>
      <c r="AS52" s="10"/>
      <c r="AT52" s="10"/>
      <c r="AU52" s="10"/>
      <c r="AV52" s="10"/>
      <c r="AW52" s="10"/>
      <c r="AX52" s="10"/>
      <c r="AY52" s="10"/>
      <c r="AZ52" s="10"/>
      <c r="BA52" s="10"/>
      <c r="BB52" s="10"/>
      <c r="BC52" s="10"/>
      <c r="BD52" s="10"/>
      <c r="BE52" s="10"/>
      <c r="BF52" s="10"/>
      <c r="BG52" s="10"/>
      <c r="BH52" s="10"/>
    </row>
    <row r="53" spans="1:60" x14ac:dyDescent="0.3">
      <c r="A53" s="10"/>
      <c r="B53" s="10"/>
      <c r="C53" s="10"/>
      <c r="D53" s="10"/>
      <c r="E53" s="10"/>
      <c r="F53" s="10"/>
      <c r="G53" s="10"/>
      <c r="H53" s="10"/>
      <c r="I53" s="10"/>
      <c r="J53" s="10"/>
      <c r="K53" s="10"/>
      <c r="L53" s="10"/>
      <c r="M53" s="10"/>
      <c r="N53" s="10"/>
      <c r="O53" s="10"/>
      <c r="P53" s="10"/>
      <c r="Q53" s="10"/>
      <c r="R53" s="10"/>
      <c r="S53" s="10"/>
      <c r="T53" s="10"/>
      <c r="U53" s="10"/>
      <c r="V53" s="10"/>
      <c r="W53" s="10"/>
      <c r="X53" s="10"/>
      <c r="Y53" s="10"/>
      <c r="Z53" s="10"/>
      <c r="AA53" s="10"/>
      <c r="AB53" s="10"/>
      <c r="AC53" s="10"/>
      <c r="AD53" s="10"/>
      <c r="AE53" s="10"/>
      <c r="AF53" s="10"/>
      <c r="AG53" s="10"/>
      <c r="AH53" s="10"/>
      <c r="AI53" s="10"/>
      <c r="AJ53" s="10"/>
      <c r="AK53" s="10"/>
      <c r="AL53" s="10"/>
      <c r="AM53" s="10"/>
      <c r="AN53" s="10"/>
      <c r="AO53" s="10"/>
      <c r="AP53" s="10"/>
      <c r="AQ53" s="10"/>
      <c r="AR53" s="10"/>
      <c r="AS53" s="10"/>
      <c r="AT53" s="10"/>
      <c r="AU53" s="10"/>
      <c r="AV53" s="10"/>
      <c r="AW53" s="10"/>
      <c r="AX53" s="10"/>
      <c r="AY53" s="10"/>
      <c r="AZ53" s="10"/>
      <c r="BA53" s="10"/>
      <c r="BB53" s="10"/>
      <c r="BC53" s="10"/>
      <c r="BD53" s="10"/>
      <c r="BE53" s="10"/>
      <c r="BF53" s="10"/>
      <c r="BG53" s="10"/>
      <c r="BH53" s="10"/>
    </row>
    <row r="54" spans="1:60" x14ac:dyDescent="0.3">
      <c r="A54" s="10"/>
      <c r="B54" s="10"/>
      <c r="C54" s="10"/>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c r="AM54" s="10"/>
      <c r="AN54" s="10"/>
      <c r="AO54" s="10"/>
      <c r="AP54" s="10"/>
      <c r="AQ54" s="10"/>
      <c r="AR54" s="10"/>
      <c r="AS54" s="10"/>
      <c r="AT54" s="10"/>
      <c r="AU54" s="10"/>
      <c r="AV54" s="10"/>
      <c r="AW54" s="10"/>
      <c r="AX54" s="10"/>
      <c r="AY54" s="10"/>
      <c r="AZ54" s="10"/>
      <c r="BA54" s="10"/>
      <c r="BB54" s="10"/>
      <c r="BC54" s="10"/>
      <c r="BD54" s="10"/>
      <c r="BE54" s="10"/>
      <c r="BF54" s="10"/>
      <c r="BG54" s="10"/>
      <c r="BH54" s="10"/>
    </row>
    <row r="55" spans="1:60" x14ac:dyDescent="0.3">
      <c r="A55" s="10"/>
      <c r="B55" s="10"/>
      <c r="C55" s="10"/>
      <c r="D55" s="10"/>
      <c r="E55" s="10"/>
      <c r="F55" s="10"/>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10"/>
      <c r="AH55" s="10"/>
      <c r="AI55" s="10"/>
      <c r="AJ55" s="10"/>
      <c r="AK55" s="10"/>
      <c r="AL55" s="10"/>
      <c r="AM55" s="10"/>
      <c r="AN55" s="10"/>
      <c r="AO55" s="10"/>
      <c r="AP55" s="10"/>
      <c r="AQ55" s="10"/>
      <c r="AR55" s="10"/>
      <c r="AS55" s="10"/>
      <c r="AT55" s="10"/>
      <c r="AU55" s="10"/>
      <c r="AV55" s="10"/>
      <c r="AW55" s="10"/>
      <c r="AX55" s="10"/>
      <c r="AY55" s="10"/>
      <c r="AZ55" s="10"/>
      <c r="BA55" s="10"/>
      <c r="BB55" s="10"/>
      <c r="BC55" s="10"/>
      <c r="BD55" s="10"/>
      <c r="BE55" s="10"/>
      <c r="BF55" s="10"/>
      <c r="BG55" s="10"/>
      <c r="BH55" s="10"/>
    </row>
    <row r="56" spans="1:60" x14ac:dyDescent="0.3">
      <c r="A56" s="10"/>
      <c r="B56" s="10"/>
      <c r="C56" s="10"/>
      <c r="D56" s="10"/>
      <c r="E56" s="10"/>
      <c r="F56" s="10"/>
      <c r="G56" s="10"/>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c r="AG56" s="10"/>
      <c r="AH56" s="10"/>
      <c r="AI56" s="10"/>
      <c r="AJ56" s="10"/>
      <c r="AK56" s="10"/>
      <c r="AL56" s="10"/>
      <c r="AM56" s="10"/>
      <c r="AN56" s="10"/>
      <c r="AO56" s="10"/>
      <c r="AP56" s="10"/>
      <c r="AQ56" s="10"/>
      <c r="AR56" s="10"/>
      <c r="AS56" s="10"/>
      <c r="AT56" s="10"/>
      <c r="AU56" s="10"/>
      <c r="AV56" s="10"/>
      <c r="AW56" s="10"/>
      <c r="AX56" s="10"/>
      <c r="AY56" s="10"/>
      <c r="AZ56" s="10"/>
      <c r="BA56" s="10"/>
      <c r="BB56" s="10"/>
      <c r="BC56" s="10"/>
      <c r="BD56" s="10"/>
      <c r="BE56" s="10"/>
      <c r="BF56" s="10"/>
      <c r="BG56" s="10"/>
      <c r="BH56" s="10"/>
    </row>
    <row r="57" spans="1:60" x14ac:dyDescent="0.3">
      <c r="A57" s="10"/>
      <c r="B57" s="10"/>
      <c r="C57" s="10"/>
      <c r="D57" s="10"/>
      <c r="E57" s="10"/>
      <c r="F57" s="10"/>
      <c r="G57" s="10"/>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c r="AG57" s="10"/>
      <c r="AH57" s="10"/>
      <c r="AI57" s="10"/>
      <c r="AJ57" s="10"/>
      <c r="AK57" s="10"/>
      <c r="AL57" s="10"/>
      <c r="AM57" s="10"/>
      <c r="AN57" s="10"/>
      <c r="AO57" s="10"/>
      <c r="AP57" s="10"/>
      <c r="AQ57" s="10"/>
      <c r="AR57" s="10"/>
      <c r="AS57" s="10"/>
      <c r="AT57" s="10"/>
      <c r="AU57" s="10"/>
      <c r="AV57" s="10"/>
      <c r="AW57" s="10"/>
      <c r="AX57" s="10"/>
      <c r="AY57" s="10"/>
      <c r="AZ57" s="10"/>
      <c r="BA57" s="10"/>
      <c r="BB57" s="10"/>
      <c r="BC57" s="10"/>
      <c r="BD57" s="10"/>
      <c r="BE57" s="10"/>
      <c r="BF57" s="10"/>
      <c r="BG57" s="10"/>
      <c r="BH57" s="10"/>
    </row>
    <row r="58" spans="1:60" x14ac:dyDescent="0.3">
      <c r="A58" s="10"/>
      <c r="B58" s="10"/>
      <c r="C58" s="10"/>
      <c r="D58" s="10"/>
      <c r="E58" s="10"/>
      <c r="F58" s="10"/>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10"/>
      <c r="AH58" s="10"/>
      <c r="AI58" s="10"/>
      <c r="AJ58" s="10"/>
      <c r="AK58" s="10"/>
      <c r="AL58" s="10"/>
      <c r="AM58" s="10"/>
      <c r="AN58" s="10"/>
      <c r="AO58" s="10"/>
      <c r="AP58" s="10"/>
      <c r="AQ58" s="10"/>
      <c r="AR58" s="10"/>
      <c r="AS58" s="10"/>
      <c r="AT58" s="10"/>
      <c r="AU58" s="10"/>
      <c r="AV58" s="10"/>
      <c r="AW58" s="10"/>
      <c r="AX58" s="10"/>
      <c r="AY58" s="10"/>
      <c r="AZ58" s="10"/>
      <c r="BA58" s="10"/>
      <c r="BB58" s="10"/>
      <c r="BC58" s="10"/>
      <c r="BD58" s="10"/>
      <c r="BE58" s="10"/>
      <c r="BF58" s="10"/>
      <c r="BG58" s="10"/>
      <c r="BH58" s="10"/>
    </row>
    <row r="59" spans="1:60" x14ac:dyDescent="0.3">
      <c r="A59" s="10"/>
      <c r="B59" s="10"/>
      <c r="C59" s="10"/>
      <c r="D59" s="10"/>
      <c r="E59" s="10"/>
      <c r="F59" s="10"/>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row>
    <row r="60" spans="1:60" x14ac:dyDescent="0.3">
      <c r="A60" s="10"/>
      <c r="B60" s="10"/>
      <c r="C60" s="10"/>
      <c r="D60" s="10"/>
      <c r="E60" s="10"/>
      <c r="F60" s="10"/>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10"/>
      <c r="AH60" s="10"/>
      <c r="AI60" s="10"/>
      <c r="AJ60" s="10"/>
      <c r="AK60" s="10"/>
      <c r="AL60" s="10"/>
      <c r="AM60" s="10"/>
      <c r="AN60" s="10"/>
      <c r="AO60" s="10"/>
      <c r="AP60" s="10"/>
      <c r="AQ60" s="10"/>
      <c r="AR60" s="10"/>
      <c r="AS60" s="10"/>
      <c r="AT60" s="10"/>
      <c r="AU60" s="10"/>
      <c r="AV60" s="10"/>
      <c r="AW60" s="10"/>
      <c r="AX60" s="10"/>
      <c r="AY60" s="10"/>
      <c r="AZ60" s="10"/>
      <c r="BA60" s="10"/>
      <c r="BB60" s="10"/>
      <c r="BC60" s="10"/>
      <c r="BD60" s="10"/>
      <c r="BE60" s="10"/>
      <c r="BF60" s="10"/>
      <c r="BG60" s="10"/>
      <c r="BH60" s="10"/>
    </row>
    <row r="61" spans="1:60" x14ac:dyDescent="0.3">
      <c r="A61" s="10"/>
      <c r="B61" s="10"/>
      <c r="C61" s="10"/>
      <c r="D61" s="10"/>
      <c r="E61" s="10"/>
      <c r="F61" s="10"/>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10"/>
      <c r="AH61" s="10"/>
      <c r="AI61" s="10"/>
      <c r="AJ61" s="10"/>
      <c r="AK61" s="10"/>
      <c r="AL61" s="10"/>
      <c r="AM61" s="10"/>
      <c r="AN61" s="10"/>
      <c r="AO61" s="10"/>
      <c r="AP61" s="10"/>
      <c r="AQ61" s="10"/>
      <c r="AR61" s="10"/>
      <c r="AS61" s="10"/>
      <c r="AT61" s="10"/>
      <c r="AU61" s="10"/>
      <c r="AV61" s="10"/>
      <c r="AW61" s="10"/>
      <c r="AX61" s="10"/>
      <c r="AY61" s="10"/>
      <c r="AZ61" s="10"/>
      <c r="BA61" s="10"/>
      <c r="BB61" s="10"/>
      <c r="BC61" s="10"/>
      <c r="BD61" s="10"/>
      <c r="BE61" s="10"/>
      <c r="BF61" s="10"/>
      <c r="BG61" s="10"/>
      <c r="BH61" s="10"/>
    </row>
    <row r="62" spans="1:60" x14ac:dyDescent="0.3">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10"/>
      <c r="AH62" s="10"/>
      <c r="AI62" s="10"/>
      <c r="AJ62" s="10"/>
      <c r="AK62" s="10"/>
      <c r="AL62" s="10"/>
      <c r="AM62" s="10"/>
      <c r="AN62" s="10"/>
      <c r="AO62" s="10"/>
      <c r="AP62" s="10"/>
      <c r="AQ62" s="10"/>
      <c r="AR62" s="10"/>
      <c r="AS62" s="10"/>
      <c r="AT62" s="10"/>
      <c r="AU62" s="10"/>
      <c r="AV62" s="10"/>
      <c r="AW62" s="10"/>
      <c r="AX62" s="10"/>
      <c r="AY62" s="10"/>
      <c r="AZ62" s="10"/>
      <c r="BA62" s="10"/>
      <c r="BB62" s="10"/>
      <c r="BC62" s="10"/>
      <c r="BD62" s="10"/>
      <c r="BE62" s="10"/>
      <c r="BF62" s="10"/>
      <c r="BG62" s="10"/>
      <c r="BH62" s="10"/>
    </row>
    <row r="63" spans="1:60" x14ac:dyDescent="0.3">
      <c r="A63" s="10"/>
      <c r="B63" s="10"/>
      <c r="C63" s="10"/>
      <c r="D63" s="10"/>
      <c r="E63" s="10"/>
      <c r="F63" s="10"/>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c r="AY63" s="10"/>
      <c r="AZ63" s="10"/>
      <c r="BA63" s="10"/>
      <c r="BB63" s="10"/>
      <c r="BC63" s="10"/>
      <c r="BD63" s="10"/>
      <c r="BE63" s="10"/>
      <c r="BF63" s="10"/>
      <c r="BG63" s="10"/>
      <c r="BH63" s="10"/>
    </row>
    <row r="64" spans="1:60" x14ac:dyDescent="0.3">
      <c r="A64" s="10"/>
      <c r="B64" s="10"/>
      <c r="C64" s="10"/>
      <c r="D64" s="10"/>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0"/>
      <c r="AJ64" s="10"/>
      <c r="AK64" s="10"/>
      <c r="AL64" s="10"/>
      <c r="AM64" s="10"/>
      <c r="AN64" s="10"/>
      <c r="AO64" s="10"/>
      <c r="AP64" s="10"/>
      <c r="AQ64" s="10"/>
      <c r="AR64" s="10"/>
      <c r="AS64" s="10"/>
      <c r="AT64" s="10"/>
      <c r="AU64" s="10"/>
      <c r="AV64" s="10"/>
      <c r="AW64" s="10"/>
      <c r="AX64" s="10"/>
      <c r="AY64" s="10"/>
      <c r="AZ64" s="10"/>
      <c r="BA64" s="10"/>
      <c r="BB64" s="10"/>
      <c r="BC64" s="10"/>
      <c r="BD64" s="10"/>
      <c r="BE64" s="10"/>
      <c r="BF64" s="10"/>
      <c r="BG64" s="10"/>
      <c r="BH64" s="10"/>
    </row>
    <row r="65" spans="1:60" x14ac:dyDescent="0.3">
      <c r="A65" s="10"/>
      <c r="B65" s="10"/>
      <c r="C65" s="10"/>
      <c r="D65" s="10"/>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0"/>
      <c r="AJ65" s="10"/>
      <c r="AK65" s="10"/>
      <c r="AL65" s="10"/>
      <c r="AM65" s="10"/>
      <c r="AN65" s="10"/>
      <c r="AO65" s="10"/>
      <c r="AP65" s="10"/>
      <c r="AQ65" s="10"/>
      <c r="AR65" s="10"/>
      <c r="AS65" s="10"/>
      <c r="AT65" s="10"/>
      <c r="AU65" s="10"/>
      <c r="AV65" s="10"/>
      <c r="AW65" s="10"/>
      <c r="AX65" s="10"/>
      <c r="AY65" s="10"/>
      <c r="AZ65" s="10"/>
      <c r="BA65" s="10"/>
      <c r="BB65" s="10"/>
      <c r="BC65" s="10"/>
      <c r="BD65" s="10"/>
      <c r="BE65" s="10"/>
      <c r="BF65" s="10"/>
      <c r="BG65" s="10"/>
      <c r="BH65" s="10"/>
    </row>
    <row r="66" spans="1:60" x14ac:dyDescent="0.3">
      <c r="A66" s="10"/>
      <c r="B66" s="10"/>
      <c r="C66" s="10"/>
      <c r="D66" s="10"/>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c r="AO66" s="10"/>
      <c r="AP66" s="10"/>
      <c r="AQ66" s="10"/>
      <c r="AR66" s="10"/>
      <c r="AS66" s="10"/>
      <c r="AT66" s="10"/>
      <c r="AU66" s="10"/>
      <c r="AV66" s="10"/>
      <c r="AW66" s="10"/>
      <c r="AX66" s="10"/>
      <c r="AY66" s="10"/>
      <c r="AZ66" s="10"/>
      <c r="BA66" s="10"/>
      <c r="BB66" s="10"/>
      <c r="BC66" s="10"/>
      <c r="BD66" s="10"/>
      <c r="BE66" s="10"/>
      <c r="BF66" s="10"/>
      <c r="BG66" s="10"/>
      <c r="BH66" s="10"/>
    </row>
    <row r="67" spans="1:60" x14ac:dyDescent="0.3">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c r="AX67" s="10"/>
      <c r="AY67" s="10"/>
      <c r="AZ67" s="10"/>
      <c r="BA67" s="10"/>
      <c r="BB67" s="10"/>
      <c r="BC67" s="10"/>
      <c r="BD67" s="10"/>
      <c r="BE67" s="10"/>
      <c r="BF67" s="10"/>
      <c r="BG67" s="10"/>
      <c r="BH67" s="10"/>
    </row>
    <row r="68" spans="1:60" x14ac:dyDescent="0.3">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c r="AO68" s="10"/>
      <c r="AP68" s="10"/>
      <c r="AQ68" s="10"/>
      <c r="AR68" s="10"/>
      <c r="AS68" s="10"/>
      <c r="AT68" s="10"/>
      <c r="AU68" s="10"/>
      <c r="AV68" s="10"/>
      <c r="AW68" s="10"/>
      <c r="AX68" s="10"/>
      <c r="AY68" s="10"/>
      <c r="AZ68" s="10"/>
      <c r="BA68" s="10"/>
      <c r="BB68" s="10"/>
      <c r="BC68" s="10"/>
      <c r="BD68" s="10"/>
      <c r="BE68" s="10"/>
      <c r="BF68" s="10"/>
      <c r="BG68" s="10"/>
      <c r="BH68" s="10"/>
    </row>
    <row r="69" spans="1:60" x14ac:dyDescent="0.3">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c r="AO69" s="10"/>
      <c r="AP69" s="10"/>
      <c r="AQ69" s="10"/>
      <c r="AR69" s="10"/>
      <c r="AS69" s="10"/>
      <c r="AT69" s="10"/>
      <c r="AU69" s="10"/>
      <c r="AV69" s="10"/>
      <c r="AW69" s="10"/>
      <c r="AX69" s="10"/>
      <c r="AY69" s="10"/>
      <c r="AZ69" s="10"/>
      <c r="BA69" s="10"/>
      <c r="BB69" s="10"/>
      <c r="BC69" s="10"/>
      <c r="BD69" s="10"/>
      <c r="BE69" s="10"/>
      <c r="BF69" s="10"/>
      <c r="BG69" s="10"/>
      <c r="BH69" s="10"/>
    </row>
    <row r="70" spans="1:60" x14ac:dyDescent="0.3">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row>
    <row r="71" spans="1:60" x14ac:dyDescent="0.3">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c r="AO71" s="10"/>
      <c r="AP71" s="10"/>
      <c r="AQ71" s="10"/>
      <c r="AR71" s="10"/>
      <c r="AS71" s="10"/>
      <c r="AT71" s="10"/>
      <c r="AU71" s="10"/>
      <c r="AV71" s="10"/>
      <c r="AW71" s="10"/>
      <c r="AX71" s="10"/>
      <c r="AY71" s="10"/>
      <c r="AZ71" s="10"/>
      <c r="BA71" s="10"/>
      <c r="BB71" s="10"/>
      <c r="BC71" s="10"/>
      <c r="BD71" s="10"/>
      <c r="BE71" s="10"/>
      <c r="BF71" s="10"/>
      <c r="BG71" s="10"/>
      <c r="BH71" s="10"/>
    </row>
    <row r="72" spans="1:60" x14ac:dyDescent="0.3">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c r="AY72" s="10"/>
      <c r="AZ72" s="10"/>
      <c r="BA72" s="10"/>
      <c r="BB72" s="10"/>
      <c r="BC72" s="10"/>
      <c r="BD72" s="10"/>
      <c r="BE72" s="10"/>
      <c r="BF72" s="10"/>
      <c r="BG72" s="10"/>
      <c r="BH72" s="10"/>
    </row>
    <row r="73" spans="1:60" x14ac:dyDescent="0.3">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row>
    <row r="74" spans="1:60" x14ac:dyDescent="0.3">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c r="AY74" s="10"/>
      <c r="AZ74" s="10"/>
      <c r="BA74" s="10"/>
      <c r="BB74" s="10"/>
      <c r="BC74" s="10"/>
      <c r="BD74" s="10"/>
      <c r="BE74" s="10"/>
      <c r="BF74" s="10"/>
      <c r="BG74" s="10"/>
      <c r="BH74" s="10"/>
    </row>
    <row r="75" spans="1:60" x14ac:dyDescent="0.3">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10"/>
      <c r="AH75" s="10"/>
      <c r="AI75" s="10"/>
      <c r="AJ75" s="10"/>
      <c r="AK75" s="10"/>
      <c r="AL75" s="10"/>
      <c r="AM75" s="10"/>
      <c r="AN75" s="10"/>
      <c r="AO75" s="10"/>
      <c r="AP75" s="10"/>
      <c r="AQ75" s="10"/>
      <c r="AR75" s="10"/>
      <c r="AS75" s="10"/>
      <c r="AT75" s="10"/>
      <c r="AU75" s="10"/>
      <c r="AV75" s="10"/>
      <c r="AW75" s="10"/>
      <c r="AX75" s="10"/>
      <c r="AY75" s="10"/>
      <c r="AZ75" s="10"/>
      <c r="BA75" s="10"/>
      <c r="BB75" s="10"/>
      <c r="BC75" s="10"/>
      <c r="BD75" s="10"/>
      <c r="BE75" s="10"/>
      <c r="BF75" s="10"/>
      <c r="BG75" s="10"/>
      <c r="BH75" s="10"/>
    </row>
    <row r="76" spans="1:60" x14ac:dyDescent="0.3">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row>
    <row r="77" spans="1:60" x14ac:dyDescent="0.3">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10"/>
      <c r="AH77" s="10"/>
      <c r="AI77" s="10"/>
      <c r="AJ77" s="10"/>
      <c r="AK77" s="10"/>
      <c r="AL77" s="10"/>
      <c r="AM77" s="10"/>
      <c r="AN77" s="10"/>
      <c r="AO77" s="10"/>
      <c r="AP77" s="10"/>
      <c r="AQ77" s="10"/>
      <c r="AR77" s="10"/>
      <c r="AS77" s="10"/>
      <c r="AT77" s="10"/>
      <c r="AU77" s="10"/>
      <c r="AV77" s="10"/>
      <c r="AW77" s="10"/>
      <c r="AX77" s="10"/>
      <c r="AY77" s="10"/>
      <c r="AZ77" s="10"/>
      <c r="BA77" s="10"/>
      <c r="BB77" s="10"/>
      <c r="BC77" s="10"/>
      <c r="BD77" s="10"/>
      <c r="BE77" s="10"/>
      <c r="BF77" s="10"/>
      <c r="BG77" s="10"/>
      <c r="BH77" s="10"/>
    </row>
    <row r="78" spans="1:60" x14ac:dyDescent="0.3">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10"/>
      <c r="AH78" s="10"/>
      <c r="AI78" s="10"/>
      <c r="AJ78" s="10"/>
      <c r="AK78" s="10"/>
      <c r="AL78" s="10"/>
      <c r="AM78" s="10"/>
      <c r="AN78" s="10"/>
      <c r="AO78" s="10"/>
      <c r="AP78" s="10"/>
      <c r="AQ78" s="10"/>
      <c r="AR78" s="10"/>
      <c r="AS78" s="10"/>
      <c r="AT78" s="10"/>
      <c r="AU78" s="10"/>
      <c r="AV78" s="10"/>
      <c r="AW78" s="10"/>
      <c r="AX78" s="10"/>
      <c r="AY78" s="10"/>
      <c r="AZ78" s="10"/>
      <c r="BA78" s="10"/>
      <c r="BB78" s="10"/>
      <c r="BC78" s="10"/>
      <c r="BD78" s="10"/>
      <c r="BE78" s="10"/>
      <c r="BF78" s="10"/>
      <c r="BG78" s="10"/>
      <c r="BH78" s="10"/>
    </row>
    <row r="79" spans="1:60" x14ac:dyDescent="0.3">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10"/>
      <c r="AH79" s="10"/>
      <c r="AI79" s="10"/>
      <c r="AJ79" s="10"/>
      <c r="AK79" s="10"/>
      <c r="AL79" s="10"/>
      <c r="AM79" s="10"/>
      <c r="AN79" s="10"/>
      <c r="AO79" s="10"/>
      <c r="AP79" s="10"/>
      <c r="AQ79" s="10"/>
      <c r="AR79" s="10"/>
      <c r="AS79" s="10"/>
      <c r="AT79" s="10"/>
      <c r="AU79" s="10"/>
      <c r="AV79" s="10"/>
      <c r="AW79" s="10"/>
      <c r="AX79" s="10"/>
      <c r="AY79" s="10"/>
      <c r="AZ79" s="10"/>
      <c r="BA79" s="10"/>
      <c r="BB79" s="10"/>
      <c r="BC79" s="10"/>
      <c r="BD79" s="10"/>
      <c r="BE79" s="10"/>
      <c r="BF79" s="10"/>
      <c r="BG79" s="10"/>
      <c r="BH79" s="10"/>
    </row>
    <row r="80" spans="1:60" x14ac:dyDescent="0.3">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10"/>
      <c r="AH80" s="10"/>
      <c r="AI80" s="10"/>
      <c r="AJ80" s="10"/>
      <c r="AK80" s="10"/>
      <c r="AL80" s="10"/>
      <c r="AM80" s="10"/>
      <c r="AN80" s="10"/>
      <c r="AO80" s="10"/>
      <c r="AP80" s="10"/>
      <c r="AQ80" s="10"/>
      <c r="AR80" s="10"/>
      <c r="AS80" s="10"/>
      <c r="AT80" s="10"/>
      <c r="AU80" s="10"/>
      <c r="AV80" s="10"/>
      <c r="AW80" s="10"/>
      <c r="AX80" s="10"/>
      <c r="AY80" s="10"/>
      <c r="AZ80" s="10"/>
      <c r="BA80" s="10"/>
      <c r="BB80" s="10"/>
      <c r="BC80" s="10"/>
      <c r="BD80" s="10"/>
      <c r="BE80" s="10"/>
      <c r="BF80" s="10"/>
      <c r="BG80" s="10"/>
      <c r="BH80" s="10"/>
    </row>
    <row r="81" spans="1:60" x14ac:dyDescent="0.3">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10"/>
      <c r="AH81" s="10"/>
      <c r="AI81" s="10"/>
      <c r="AJ81" s="10"/>
      <c r="AK81" s="10"/>
      <c r="AL81" s="10"/>
      <c r="AM81" s="10"/>
      <c r="AN81" s="10"/>
      <c r="AO81" s="10"/>
      <c r="AP81" s="10"/>
      <c r="AQ81" s="10"/>
      <c r="AR81" s="10"/>
      <c r="AS81" s="10"/>
      <c r="AT81" s="10"/>
      <c r="AU81" s="10"/>
      <c r="AV81" s="10"/>
      <c r="AW81" s="10"/>
      <c r="AX81" s="10"/>
      <c r="AY81" s="10"/>
      <c r="AZ81" s="10"/>
      <c r="BA81" s="10"/>
      <c r="BB81" s="10"/>
      <c r="BC81" s="10"/>
      <c r="BD81" s="10"/>
      <c r="BE81" s="10"/>
      <c r="BF81" s="10"/>
      <c r="BG81" s="10"/>
      <c r="BH81" s="10"/>
    </row>
    <row r="82" spans="1:60" x14ac:dyDescent="0.3">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10"/>
      <c r="AH82" s="10"/>
      <c r="AI82" s="10"/>
      <c r="AJ82" s="10"/>
      <c r="AK82" s="10"/>
      <c r="AL82" s="10"/>
      <c r="AM82" s="10"/>
      <c r="AN82" s="10"/>
      <c r="AO82" s="10"/>
      <c r="AP82" s="10"/>
      <c r="AQ82" s="10"/>
      <c r="AR82" s="10"/>
      <c r="AS82" s="10"/>
      <c r="AT82" s="10"/>
      <c r="AU82" s="10"/>
      <c r="AV82" s="10"/>
      <c r="AW82" s="10"/>
      <c r="AX82" s="10"/>
      <c r="AY82" s="10"/>
      <c r="AZ82" s="10"/>
      <c r="BA82" s="10"/>
      <c r="BB82" s="10"/>
      <c r="BC82" s="10"/>
      <c r="BD82" s="10"/>
      <c r="BE82" s="10"/>
      <c r="BF82" s="10"/>
      <c r="BG82" s="10"/>
      <c r="BH82" s="10"/>
    </row>
    <row r="83" spans="1:60" x14ac:dyDescent="0.3">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10"/>
      <c r="AH83" s="10"/>
      <c r="AI83" s="10"/>
      <c r="AJ83" s="10"/>
      <c r="AK83" s="10"/>
      <c r="AL83" s="10"/>
      <c r="AM83" s="10"/>
      <c r="AN83" s="10"/>
      <c r="AO83" s="10"/>
      <c r="AP83" s="10"/>
      <c r="AQ83" s="10"/>
      <c r="AR83" s="10"/>
      <c r="AS83" s="10"/>
      <c r="AT83" s="10"/>
      <c r="AU83" s="10"/>
      <c r="AV83" s="10"/>
      <c r="AW83" s="10"/>
      <c r="AX83" s="10"/>
      <c r="AY83" s="10"/>
      <c r="AZ83" s="10"/>
      <c r="BA83" s="10"/>
      <c r="BB83" s="10"/>
      <c r="BC83" s="10"/>
      <c r="BD83" s="10"/>
      <c r="BE83" s="10"/>
      <c r="BF83" s="10"/>
      <c r="BG83" s="10"/>
      <c r="BH83" s="10"/>
    </row>
    <row r="84" spans="1:60" x14ac:dyDescent="0.3">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10"/>
      <c r="AH84" s="10"/>
      <c r="AI84" s="10"/>
      <c r="AJ84" s="10"/>
      <c r="AK84" s="10"/>
      <c r="AL84" s="10"/>
      <c r="AM84" s="10"/>
      <c r="AN84" s="10"/>
      <c r="AO84" s="10"/>
      <c r="AP84" s="10"/>
      <c r="AQ84" s="10"/>
      <c r="AR84" s="10"/>
      <c r="AS84" s="10"/>
      <c r="AT84" s="10"/>
      <c r="AU84" s="10"/>
      <c r="AV84" s="10"/>
      <c r="AW84" s="10"/>
      <c r="AX84" s="10"/>
      <c r="AY84" s="10"/>
      <c r="AZ84" s="10"/>
      <c r="BA84" s="10"/>
      <c r="BB84" s="10"/>
      <c r="BC84" s="10"/>
      <c r="BD84" s="10"/>
      <c r="BE84" s="10"/>
      <c r="BF84" s="10"/>
      <c r="BG84" s="10"/>
      <c r="BH84" s="10"/>
    </row>
    <row r="85" spans="1:60" x14ac:dyDescent="0.3">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10"/>
      <c r="AH85" s="10"/>
      <c r="AI85" s="10"/>
      <c r="AJ85" s="10"/>
      <c r="AK85" s="10"/>
      <c r="AL85" s="10"/>
      <c r="AM85" s="10"/>
      <c r="AN85" s="10"/>
      <c r="AO85" s="10"/>
      <c r="AP85" s="10"/>
      <c r="AQ85" s="10"/>
      <c r="AR85" s="10"/>
      <c r="AS85" s="10"/>
      <c r="AT85" s="10"/>
      <c r="AU85" s="10"/>
      <c r="AV85" s="10"/>
      <c r="AW85" s="10"/>
      <c r="AX85" s="10"/>
      <c r="AY85" s="10"/>
      <c r="AZ85" s="10"/>
      <c r="BA85" s="10"/>
      <c r="BB85" s="10"/>
      <c r="BC85" s="10"/>
      <c r="BD85" s="10"/>
      <c r="BE85" s="10"/>
      <c r="BF85" s="10"/>
      <c r="BG85" s="10"/>
      <c r="BH85" s="10"/>
    </row>
    <row r="86" spans="1:60" x14ac:dyDescent="0.3">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10"/>
      <c r="AH86" s="10"/>
      <c r="AI86" s="10"/>
      <c r="AJ86" s="10"/>
      <c r="AK86" s="10"/>
      <c r="AL86" s="10"/>
      <c r="AM86" s="10"/>
      <c r="AN86" s="10"/>
      <c r="AO86" s="10"/>
      <c r="AP86" s="10"/>
      <c r="AQ86" s="10"/>
      <c r="AR86" s="10"/>
      <c r="AS86" s="10"/>
      <c r="AT86" s="10"/>
      <c r="AU86" s="10"/>
      <c r="AV86" s="10"/>
      <c r="AW86" s="10"/>
      <c r="AX86" s="10"/>
      <c r="AY86" s="10"/>
      <c r="AZ86" s="10"/>
      <c r="BA86" s="10"/>
      <c r="BB86" s="10"/>
      <c r="BC86" s="10"/>
      <c r="BD86" s="10"/>
      <c r="BE86" s="10"/>
      <c r="BF86" s="10"/>
      <c r="BG86" s="10"/>
      <c r="BH86" s="10"/>
    </row>
    <row r="87" spans="1:60" x14ac:dyDescent="0.3">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10"/>
      <c r="AH87" s="10"/>
      <c r="AI87" s="10"/>
      <c r="AJ87" s="10"/>
      <c r="AK87" s="10"/>
      <c r="AL87" s="10"/>
      <c r="AM87" s="10"/>
      <c r="AN87" s="10"/>
      <c r="AO87" s="10"/>
      <c r="AP87" s="10"/>
      <c r="AQ87" s="10"/>
      <c r="AR87" s="10"/>
      <c r="AS87" s="10"/>
      <c r="AT87" s="10"/>
      <c r="AU87" s="10"/>
      <c r="AV87" s="10"/>
      <c r="AW87" s="10"/>
      <c r="AX87" s="10"/>
      <c r="AY87" s="10"/>
      <c r="AZ87" s="10"/>
      <c r="BA87" s="10"/>
      <c r="BB87" s="10"/>
      <c r="BC87" s="10"/>
      <c r="BD87" s="10"/>
      <c r="BE87" s="10"/>
      <c r="BF87" s="10"/>
      <c r="BG87" s="10"/>
      <c r="BH87" s="10"/>
    </row>
    <row r="88" spans="1:60" x14ac:dyDescent="0.3">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10"/>
      <c r="AH88" s="10"/>
      <c r="AI88" s="10"/>
      <c r="AJ88" s="10"/>
      <c r="AK88" s="10"/>
      <c r="AL88" s="10"/>
      <c r="AM88" s="10"/>
      <c r="AN88" s="10"/>
      <c r="AO88" s="10"/>
      <c r="AP88" s="10"/>
      <c r="AQ88" s="10"/>
      <c r="AR88" s="10"/>
      <c r="AS88" s="10"/>
      <c r="AT88" s="10"/>
      <c r="AU88" s="10"/>
      <c r="AV88" s="10"/>
      <c r="AW88" s="10"/>
      <c r="AX88" s="10"/>
      <c r="AY88" s="10"/>
      <c r="AZ88" s="10"/>
      <c r="BA88" s="10"/>
      <c r="BB88" s="10"/>
      <c r="BC88" s="10"/>
      <c r="BD88" s="10"/>
      <c r="BE88" s="10"/>
      <c r="BF88" s="10"/>
      <c r="BG88" s="10"/>
      <c r="BH88" s="10"/>
    </row>
    <row r="89" spans="1:60" x14ac:dyDescent="0.3">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10"/>
      <c r="AH89" s="10"/>
      <c r="AI89" s="10"/>
      <c r="AJ89" s="10"/>
      <c r="AK89" s="10"/>
      <c r="AL89" s="10"/>
      <c r="AM89" s="10"/>
      <c r="AN89" s="10"/>
      <c r="AO89" s="10"/>
      <c r="AP89" s="10"/>
      <c r="AQ89" s="10"/>
      <c r="AR89" s="10"/>
      <c r="AS89" s="10"/>
      <c r="AT89" s="10"/>
      <c r="AU89" s="10"/>
      <c r="AV89" s="10"/>
      <c r="AW89" s="10"/>
      <c r="AX89" s="10"/>
      <c r="AY89" s="10"/>
      <c r="AZ89" s="10"/>
      <c r="BA89" s="10"/>
      <c r="BB89" s="10"/>
      <c r="BC89" s="10"/>
      <c r="BD89" s="10"/>
      <c r="BE89" s="10"/>
      <c r="BF89" s="10"/>
      <c r="BG89" s="10"/>
      <c r="BH89" s="10"/>
    </row>
    <row r="90" spans="1:60" x14ac:dyDescent="0.3">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10"/>
      <c r="AH90" s="10"/>
      <c r="AI90" s="10"/>
      <c r="AJ90" s="10"/>
      <c r="AK90" s="10"/>
      <c r="AL90" s="10"/>
      <c r="AM90" s="10"/>
      <c r="AN90" s="10"/>
      <c r="AO90" s="10"/>
      <c r="AP90" s="10"/>
      <c r="AQ90" s="10"/>
      <c r="AR90" s="10"/>
      <c r="AS90" s="10"/>
      <c r="AT90" s="10"/>
      <c r="AU90" s="10"/>
      <c r="AV90" s="10"/>
      <c r="AW90" s="10"/>
      <c r="AX90" s="10"/>
      <c r="AY90" s="10"/>
      <c r="AZ90" s="10"/>
      <c r="BA90" s="10"/>
      <c r="BB90" s="10"/>
      <c r="BC90" s="10"/>
      <c r="BD90" s="10"/>
      <c r="BE90" s="10"/>
      <c r="BF90" s="10"/>
      <c r="BG90" s="10"/>
      <c r="BH90" s="10"/>
    </row>
    <row r="91" spans="1:60" x14ac:dyDescent="0.3">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10"/>
      <c r="AH91" s="10"/>
      <c r="AI91" s="10"/>
      <c r="AJ91" s="10"/>
      <c r="AK91" s="10"/>
      <c r="AL91" s="10"/>
      <c r="AM91" s="10"/>
      <c r="AN91" s="10"/>
      <c r="AO91" s="10"/>
      <c r="AP91" s="10"/>
      <c r="AQ91" s="10"/>
      <c r="AR91" s="10"/>
      <c r="AS91" s="10"/>
      <c r="AT91" s="10"/>
      <c r="AU91" s="10"/>
      <c r="AV91" s="10"/>
      <c r="AW91" s="10"/>
      <c r="AX91" s="10"/>
      <c r="AY91" s="10"/>
      <c r="AZ91" s="10"/>
      <c r="BA91" s="10"/>
      <c r="BB91" s="10"/>
      <c r="BC91" s="10"/>
      <c r="BD91" s="10"/>
      <c r="BE91" s="10"/>
      <c r="BF91" s="10"/>
      <c r="BG91" s="10"/>
      <c r="BH91" s="10"/>
    </row>
    <row r="92" spans="1:60" x14ac:dyDescent="0.3">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10"/>
      <c r="AH92" s="10"/>
      <c r="AI92" s="10"/>
      <c r="AJ92" s="10"/>
      <c r="AK92" s="10"/>
      <c r="AL92" s="10"/>
      <c r="AM92" s="10"/>
      <c r="AN92" s="10"/>
      <c r="AO92" s="10"/>
      <c r="AP92" s="10"/>
      <c r="AQ92" s="10"/>
      <c r="AR92" s="10"/>
      <c r="AS92" s="10"/>
      <c r="AT92" s="10"/>
      <c r="AU92" s="10"/>
      <c r="AV92" s="10"/>
      <c r="AW92" s="10"/>
      <c r="AX92" s="10"/>
      <c r="AY92" s="10"/>
      <c r="AZ92" s="10"/>
      <c r="BA92" s="10"/>
      <c r="BB92" s="10"/>
      <c r="BC92" s="10"/>
      <c r="BD92" s="10"/>
      <c r="BE92" s="10"/>
      <c r="BF92" s="10"/>
      <c r="BG92" s="10"/>
      <c r="BH92" s="10"/>
    </row>
    <row r="93" spans="1:60" x14ac:dyDescent="0.3">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10"/>
      <c r="AH93" s="10"/>
      <c r="AI93" s="10"/>
      <c r="AJ93" s="10"/>
      <c r="AK93" s="10"/>
      <c r="AL93" s="10"/>
      <c r="AM93" s="10"/>
      <c r="AN93" s="10"/>
      <c r="AO93" s="10"/>
      <c r="AP93" s="10"/>
      <c r="AQ93" s="10"/>
      <c r="AR93" s="10"/>
      <c r="AS93" s="10"/>
      <c r="AT93" s="10"/>
      <c r="AU93" s="10"/>
      <c r="AV93" s="10"/>
      <c r="AW93" s="10"/>
      <c r="AX93" s="10"/>
      <c r="AY93" s="10"/>
      <c r="AZ93" s="10"/>
      <c r="BA93" s="10"/>
      <c r="BB93" s="10"/>
      <c r="BC93" s="10"/>
      <c r="BD93" s="10"/>
      <c r="BE93" s="10"/>
      <c r="BF93" s="10"/>
      <c r="BG93" s="10"/>
      <c r="BH93" s="10"/>
    </row>
    <row r="94" spans="1:60" x14ac:dyDescent="0.3">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10"/>
      <c r="AH94" s="10"/>
      <c r="AI94" s="10"/>
      <c r="AJ94" s="10"/>
      <c r="AK94" s="10"/>
      <c r="AL94" s="10"/>
      <c r="AM94" s="10"/>
      <c r="AN94" s="10"/>
      <c r="AO94" s="10"/>
      <c r="AP94" s="10"/>
      <c r="AQ94" s="10"/>
      <c r="AR94" s="10"/>
      <c r="AS94" s="10"/>
      <c r="AT94" s="10"/>
      <c r="AU94" s="10"/>
      <c r="AV94" s="10"/>
      <c r="AW94" s="10"/>
      <c r="AX94" s="10"/>
      <c r="AY94" s="10"/>
      <c r="AZ94" s="10"/>
      <c r="BA94" s="10"/>
      <c r="BB94" s="10"/>
      <c r="BC94" s="10"/>
      <c r="BD94" s="10"/>
      <c r="BE94" s="10"/>
      <c r="BF94" s="10"/>
      <c r="BG94" s="10"/>
      <c r="BH94" s="10"/>
    </row>
    <row r="95" spans="1:60" x14ac:dyDescent="0.3">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10"/>
      <c r="AH95" s="10"/>
      <c r="AI95" s="10"/>
      <c r="AJ95" s="10"/>
      <c r="AK95" s="10"/>
      <c r="AL95" s="10"/>
      <c r="AM95" s="10"/>
      <c r="AN95" s="10"/>
      <c r="AO95" s="10"/>
      <c r="AP95" s="10"/>
      <c r="AQ95" s="10"/>
      <c r="AR95" s="10"/>
      <c r="AS95" s="10"/>
      <c r="AT95" s="10"/>
      <c r="AU95" s="10"/>
      <c r="AV95" s="10"/>
      <c r="AW95" s="10"/>
      <c r="AX95" s="10"/>
      <c r="AY95" s="10"/>
      <c r="AZ95" s="10"/>
      <c r="BA95" s="10"/>
      <c r="BB95" s="10"/>
      <c r="BC95" s="10"/>
      <c r="BD95" s="10"/>
      <c r="BE95" s="10"/>
      <c r="BF95" s="10"/>
      <c r="BG95" s="10"/>
      <c r="BH95" s="10"/>
    </row>
    <row r="96" spans="1:60" x14ac:dyDescent="0.3">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10"/>
      <c r="AH96" s="10"/>
      <c r="AI96" s="10"/>
      <c r="AJ96" s="10"/>
      <c r="AK96" s="10"/>
      <c r="AL96" s="10"/>
      <c r="AM96" s="10"/>
      <c r="AN96" s="10"/>
      <c r="AO96" s="10"/>
      <c r="AP96" s="10"/>
      <c r="AQ96" s="10"/>
      <c r="AR96" s="10"/>
      <c r="AS96" s="10"/>
      <c r="AT96" s="10"/>
      <c r="AU96" s="10"/>
      <c r="AV96" s="10"/>
      <c r="AW96" s="10"/>
      <c r="AX96" s="10"/>
      <c r="AY96" s="10"/>
      <c r="AZ96" s="10"/>
      <c r="BA96" s="10"/>
      <c r="BB96" s="10"/>
      <c r="BC96" s="10"/>
      <c r="BD96" s="10"/>
      <c r="BE96" s="10"/>
      <c r="BF96" s="10"/>
      <c r="BG96" s="10"/>
      <c r="BH96" s="10"/>
    </row>
    <row r="97" spans="1:60" x14ac:dyDescent="0.3">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10"/>
      <c r="AH97" s="10"/>
      <c r="AI97" s="10"/>
      <c r="AJ97" s="10"/>
      <c r="AK97" s="10"/>
      <c r="AL97" s="10"/>
      <c r="AM97" s="10"/>
      <c r="AN97" s="10"/>
      <c r="AO97" s="10"/>
      <c r="AP97" s="10"/>
      <c r="AQ97" s="10"/>
      <c r="AR97" s="10"/>
      <c r="AS97" s="10"/>
      <c r="AT97" s="10"/>
      <c r="AU97" s="10"/>
      <c r="AV97" s="10"/>
      <c r="AW97" s="10"/>
      <c r="AX97" s="10"/>
      <c r="AY97" s="10"/>
      <c r="AZ97" s="10"/>
      <c r="BA97" s="10"/>
      <c r="BB97" s="10"/>
      <c r="BC97" s="10"/>
      <c r="BD97" s="10"/>
      <c r="BE97" s="10"/>
      <c r="BF97" s="10"/>
      <c r="BG97" s="10"/>
      <c r="BH97" s="10"/>
    </row>
    <row r="98" spans="1:60" x14ac:dyDescent="0.3">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10"/>
      <c r="AH98" s="10"/>
      <c r="AI98" s="10"/>
      <c r="AJ98" s="10"/>
      <c r="AK98" s="10"/>
      <c r="AL98" s="10"/>
      <c r="AM98" s="10"/>
      <c r="AN98" s="10"/>
      <c r="AO98" s="10"/>
      <c r="AP98" s="10"/>
      <c r="AQ98" s="10"/>
      <c r="AR98" s="10"/>
      <c r="AS98" s="10"/>
      <c r="AT98" s="10"/>
      <c r="AU98" s="10"/>
      <c r="AV98" s="10"/>
      <c r="AW98" s="10"/>
      <c r="AX98" s="10"/>
      <c r="AY98" s="10"/>
      <c r="AZ98" s="10"/>
      <c r="BA98" s="10"/>
      <c r="BB98" s="10"/>
      <c r="BC98" s="10"/>
      <c r="BD98" s="10"/>
      <c r="BE98" s="10"/>
      <c r="BF98" s="10"/>
      <c r="BG98" s="10"/>
      <c r="BH98" s="10"/>
    </row>
    <row r="99" spans="1:60" x14ac:dyDescent="0.3">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row>
    <row r="100" spans="1:60" x14ac:dyDescent="0.3">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c r="AI100" s="10"/>
      <c r="AJ100" s="10"/>
      <c r="AK100" s="10"/>
      <c r="AL100" s="10"/>
      <c r="AM100" s="10"/>
      <c r="AN100" s="10"/>
      <c r="AO100" s="10"/>
      <c r="AP100" s="10"/>
      <c r="AQ100" s="10"/>
      <c r="AR100" s="10"/>
      <c r="AS100" s="10"/>
      <c r="AT100" s="10"/>
      <c r="AU100" s="10"/>
      <c r="AV100" s="10"/>
      <c r="AW100" s="10"/>
      <c r="AX100" s="10"/>
      <c r="AY100" s="10"/>
      <c r="AZ100" s="10"/>
      <c r="BA100" s="10"/>
      <c r="BB100" s="10"/>
      <c r="BC100" s="10"/>
      <c r="BD100" s="10"/>
      <c r="BE100" s="10"/>
      <c r="BF100" s="10"/>
      <c r="BG100" s="10"/>
      <c r="BH100" s="10"/>
    </row>
    <row r="101" spans="1:60" x14ac:dyDescent="0.3">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row>
    <row r="102" spans="1:60" x14ac:dyDescent="0.3">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10"/>
      <c r="AH102" s="10"/>
      <c r="AI102" s="10"/>
      <c r="AJ102" s="10"/>
      <c r="AK102" s="10"/>
      <c r="AL102" s="10"/>
      <c r="AM102" s="10"/>
      <c r="AN102" s="10"/>
      <c r="AO102" s="10"/>
      <c r="AP102" s="10"/>
      <c r="AQ102" s="10"/>
      <c r="AR102" s="10"/>
      <c r="AS102" s="10"/>
      <c r="AT102" s="10"/>
      <c r="AU102" s="10"/>
      <c r="AV102" s="10"/>
      <c r="AW102" s="10"/>
      <c r="AX102" s="10"/>
      <c r="AY102" s="10"/>
      <c r="AZ102" s="10"/>
      <c r="BA102" s="10"/>
      <c r="BB102" s="10"/>
      <c r="BC102" s="10"/>
      <c r="BD102" s="10"/>
      <c r="BE102" s="10"/>
      <c r="BF102" s="10"/>
      <c r="BG102" s="10"/>
      <c r="BH102" s="10"/>
    </row>
    <row r="103" spans="1:60" x14ac:dyDescent="0.3">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row>
    <row r="104" spans="1:60" x14ac:dyDescent="0.3">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10"/>
      <c r="AH104" s="10"/>
      <c r="AI104" s="10"/>
      <c r="AJ104" s="10"/>
      <c r="AK104" s="10"/>
      <c r="AL104" s="10"/>
      <c r="AM104" s="10"/>
      <c r="AN104" s="10"/>
      <c r="AO104" s="10"/>
      <c r="AP104" s="10"/>
      <c r="AQ104" s="10"/>
      <c r="AR104" s="10"/>
      <c r="AS104" s="10"/>
      <c r="AT104" s="10"/>
      <c r="AU104" s="10"/>
      <c r="AV104" s="10"/>
      <c r="AW104" s="10"/>
      <c r="AX104" s="10"/>
      <c r="AY104" s="10"/>
      <c r="AZ104" s="10"/>
      <c r="BA104" s="10"/>
      <c r="BB104" s="10"/>
      <c r="BC104" s="10"/>
      <c r="BD104" s="10"/>
      <c r="BE104" s="10"/>
      <c r="BF104" s="10"/>
      <c r="BG104" s="10"/>
      <c r="BH104" s="10"/>
    </row>
    <row r="105" spans="1:60" x14ac:dyDescent="0.3">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row>
    <row r="106" spans="1:60" x14ac:dyDescent="0.3">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row>
    <row r="107" spans="1:60" x14ac:dyDescent="0.3">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10"/>
      <c r="AH107" s="10"/>
      <c r="AI107" s="10"/>
      <c r="AJ107" s="10"/>
      <c r="AK107" s="10"/>
      <c r="AL107" s="10"/>
      <c r="AM107" s="10"/>
      <c r="AN107" s="10"/>
      <c r="AO107" s="10"/>
      <c r="AP107" s="10"/>
      <c r="AQ107" s="10"/>
      <c r="AR107" s="10"/>
      <c r="AS107" s="10"/>
      <c r="AT107" s="10"/>
      <c r="AU107" s="10"/>
      <c r="AV107" s="10"/>
      <c r="AW107" s="10"/>
      <c r="AX107" s="10"/>
      <c r="AY107" s="10"/>
      <c r="AZ107" s="10"/>
      <c r="BA107" s="10"/>
      <c r="BB107" s="10"/>
      <c r="BC107" s="10"/>
      <c r="BD107" s="10"/>
      <c r="BE107" s="10"/>
      <c r="BF107" s="10"/>
      <c r="BG107" s="10"/>
      <c r="BH107" s="10"/>
    </row>
    <row r="108" spans="1:60" x14ac:dyDescent="0.3">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c r="AO108" s="10"/>
      <c r="AP108" s="10"/>
      <c r="AQ108" s="10"/>
      <c r="AR108" s="10"/>
      <c r="AS108" s="10"/>
      <c r="AT108" s="10"/>
      <c r="AU108" s="10"/>
      <c r="AV108" s="10"/>
      <c r="AW108" s="10"/>
      <c r="AX108" s="10"/>
      <c r="AY108" s="10"/>
      <c r="AZ108" s="10"/>
      <c r="BA108" s="10"/>
      <c r="BB108" s="10"/>
      <c r="BC108" s="10"/>
      <c r="BD108" s="10"/>
      <c r="BE108" s="10"/>
      <c r="BF108" s="10"/>
      <c r="BG108" s="10"/>
      <c r="BH108" s="10"/>
    </row>
    <row r="109" spans="1:60" x14ac:dyDescent="0.3">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10"/>
      <c r="AH109" s="10"/>
      <c r="AI109" s="10"/>
      <c r="AJ109" s="10"/>
      <c r="AK109" s="10"/>
      <c r="AL109" s="10"/>
      <c r="AM109" s="10"/>
      <c r="AN109" s="10"/>
      <c r="AO109" s="10"/>
      <c r="AP109" s="10"/>
      <c r="AQ109" s="10"/>
      <c r="AR109" s="10"/>
      <c r="AS109" s="10"/>
      <c r="AT109" s="10"/>
      <c r="AU109" s="10"/>
      <c r="AV109" s="10"/>
      <c r="AW109" s="10"/>
      <c r="AX109" s="10"/>
      <c r="AY109" s="10"/>
      <c r="AZ109" s="10"/>
      <c r="BA109" s="10"/>
      <c r="BB109" s="10"/>
      <c r="BC109" s="10"/>
      <c r="BD109" s="10"/>
      <c r="BE109" s="10"/>
      <c r="BF109" s="10"/>
      <c r="BG109" s="10"/>
      <c r="BH109" s="10"/>
    </row>
    <row r="110" spans="1:60" x14ac:dyDescent="0.3">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10"/>
      <c r="AH110" s="10"/>
      <c r="AI110" s="10"/>
      <c r="AJ110" s="10"/>
      <c r="AK110" s="10"/>
      <c r="AL110" s="10"/>
      <c r="AM110" s="10"/>
      <c r="AN110" s="10"/>
      <c r="AO110" s="10"/>
      <c r="AP110" s="10"/>
      <c r="AQ110" s="10"/>
      <c r="AR110" s="10"/>
      <c r="AS110" s="10"/>
      <c r="AT110" s="10"/>
      <c r="AU110" s="10"/>
      <c r="AV110" s="10"/>
      <c r="AW110" s="10"/>
      <c r="AX110" s="10"/>
      <c r="AY110" s="10"/>
      <c r="AZ110" s="10"/>
      <c r="BA110" s="10"/>
      <c r="BB110" s="10"/>
      <c r="BC110" s="10"/>
      <c r="BD110" s="10"/>
      <c r="BE110" s="10"/>
      <c r="BF110" s="10"/>
      <c r="BG110" s="10"/>
      <c r="BH110" s="10"/>
    </row>
    <row r="111" spans="1:60" x14ac:dyDescent="0.3">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10"/>
      <c r="AH111" s="10"/>
      <c r="AI111" s="10"/>
      <c r="AJ111" s="10"/>
      <c r="AK111" s="10"/>
      <c r="AL111" s="10"/>
      <c r="AM111" s="10"/>
      <c r="AN111" s="10"/>
      <c r="AO111" s="10"/>
      <c r="AP111" s="10"/>
      <c r="AQ111" s="10"/>
      <c r="AR111" s="10"/>
      <c r="AS111" s="10"/>
      <c r="AT111" s="10"/>
      <c r="AU111" s="10"/>
      <c r="AV111" s="10"/>
      <c r="AW111" s="10"/>
      <c r="AX111" s="10"/>
      <c r="AY111" s="10"/>
      <c r="AZ111" s="10"/>
      <c r="BA111" s="10"/>
      <c r="BB111" s="10"/>
      <c r="BC111" s="10"/>
      <c r="BD111" s="10"/>
      <c r="BE111" s="10"/>
      <c r="BF111" s="10"/>
      <c r="BG111" s="10"/>
      <c r="BH111" s="10"/>
    </row>
    <row r="112" spans="1:60" x14ac:dyDescent="0.3">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row>
    <row r="113" spans="1:60" x14ac:dyDescent="0.3">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row>
    <row r="114" spans="1:60" x14ac:dyDescent="0.3">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c r="AO114" s="10"/>
      <c r="AP114" s="10"/>
      <c r="AQ114" s="10"/>
      <c r="AR114" s="10"/>
      <c r="AS114" s="10"/>
      <c r="AT114" s="10"/>
      <c r="AU114" s="10"/>
      <c r="AV114" s="10"/>
      <c r="AW114" s="10"/>
      <c r="AX114" s="10"/>
      <c r="AY114" s="10"/>
      <c r="AZ114" s="10"/>
      <c r="BA114" s="10"/>
      <c r="BB114" s="10"/>
      <c r="BC114" s="10"/>
      <c r="BD114" s="10"/>
      <c r="BE114" s="10"/>
      <c r="BF114" s="10"/>
      <c r="BG114" s="10"/>
      <c r="BH114" s="10"/>
    </row>
    <row r="115" spans="1:60" x14ac:dyDescent="0.3">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10"/>
      <c r="AH115" s="10"/>
      <c r="AI115" s="10"/>
      <c r="AJ115" s="10"/>
      <c r="AK115" s="10"/>
      <c r="AL115" s="10"/>
      <c r="AM115" s="10"/>
      <c r="AN115" s="10"/>
      <c r="AO115" s="10"/>
      <c r="AP115" s="10"/>
      <c r="AQ115" s="10"/>
      <c r="AR115" s="10"/>
      <c r="AS115" s="10"/>
      <c r="AT115" s="10"/>
      <c r="AU115" s="10"/>
      <c r="AV115" s="10"/>
      <c r="AW115" s="10"/>
      <c r="AX115" s="10"/>
      <c r="AY115" s="10"/>
      <c r="AZ115" s="10"/>
      <c r="BA115" s="10"/>
      <c r="BB115" s="10"/>
      <c r="BC115" s="10"/>
      <c r="BD115" s="10"/>
      <c r="BE115" s="10"/>
      <c r="BF115" s="10"/>
      <c r="BG115" s="10"/>
      <c r="BH115" s="10"/>
    </row>
    <row r="116" spans="1:60" x14ac:dyDescent="0.3">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c r="AJ116" s="10"/>
      <c r="AK116" s="10"/>
      <c r="AL116" s="10"/>
      <c r="AM116" s="10"/>
      <c r="AN116" s="10"/>
      <c r="AO116" s="10"/>
      <c r="AP116" s="10"/>
      <c r="AQ116" s="10"/>
      <c r="AR116" s="10"/>
      <c r="AS116" s="10"/>
      <c r="AT116" s="10"/>
      <c r="AU116" s="10"/>
      <c r="AV116" s="10"/>
      <c r="AW116" s="10"/>
      <c r="AX116" s="10"/>
      <c r="AY116" s="10"/>
      <c r="AZ116" s="10"/>
      <c r="BA116" s="10"/>
      <c r="BB116" s="10"/>
      <c r="BC116" s="10"/>
      <c r="BD116" s="10"/>
      <c r="BE116" s="10"/>
      <c r="BF116" s="10"/>
      <c r="BG116" s="10"/>
      <c r="BH116" s="10"/>
    </row>
    <row r="117" spans="1:60" x14ac:dyDescent="0.3">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c r="AK117" s="10"/>
      <c r="AL117" s="10"/>
      <c r="AM117" s="10"/>
      <c r="AN117" s="10"/>
      <c r="AO117" s="10"/>
      <c r="AP117" s="10"/>
      <c r="AQ117" s="10"/>
      <c r="AR117" s="10"/>
      <c r="AS117" s="10"/>
      <c r="AT117" s="10"/>
      <c r="AU117" s="10"/>
      <c r="AV117" s="10"/>
      <c r="AW117" s="10"/>
      <c r="AX117" s="10"/>
      <c r="AY117" s="10"/>
      <c r="AZ117" s="10"/>
      <c r="BA117" s="10"/>
      <c r="BB117" s="10"/>
      <c r="BC117" s="10"/>
      <c r="BD117" s="10"/>
      <c r="BE117" s="10"/>
      <c r="BF117" s="10"/>
      <c r="BG117" s="10"/>
      <c r="BH117" s="10"/>
    </row>
    <row r="118" spans="1:60" x14ac:dyDescent="0.3">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c r="AK118" s="10"/>
      <c r="AL118" s="10"/>
      <c r="AM118" s="10"/>
      <c r="AN118" s="10"/>
      <c r="AO118" s="10"/>
      <c r="AP118" s="10"/>
      <c r="AQ118" s="10"/>
      <c r="AR118" s="10"/>
      <c r="AS118" s="10"/>
      <c r="AT118" s="10"/>
      <c r="AU118" s="10"/>
      <c r="AV118" s="10"/>
      <c r="AW118" s="10"/>
      <c r="AX118" s="10"/>
      <c r="AY118" s="10"/>
      <c r="AZ118" s="10"/>
      <c r="BA118" s="10"/>
      <c r="BB118" s="10"/>
      <c r="BC118" s="10"/>
      <c r="BD118" s="10"/>
      <c r="BE118" s="10"/>
      <c r="BF118" s="10"/>
      <c r="BG118" s="10"/>
      <c r="BH118" s="10"/>
    </row>
    <row r="119" spans="1:60" x14ac:dyDescent="0.3">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c r="AJ119" s="10"/>
      <c r="AK119" s="10"/>
      <c r="AL119" s="10"/>
      <c r="AM119" s="10"/>
      <c r="AN119" s="10"/>
      <c r="AO119" s="10"/>
      <c r="AP119" s="10"/>
      <c r="AQ119" s="10"/>
      <c r="AR119" s="10"/>
      <c r="AS119" s="10"/>
      <c r="AT119" s="10"/>
      <c r="AU119" s="10"/>
      <c r="AV119" s="10"/>
      <c r="AW119" s="10"/>
      <c r="AX119" s="10"/>
      <c r="AY119" s="10"/>
      <c r="AZ119" s="10"/>
      <c r="BA119" s="10"/>
      <c r="BB119" s="10"/>
      <c r="BC119" s="10"/>
      <c r="BD119" s="10"/>
      <c r="BE119" s="10"/>
      <c r="BF119" s="10"/>
      <c r="BG119" s="10"/>
      <c r="BH119" s="10"/>
    </row>
    <row r="120" spans="1:60" x14ac:dyDescent="0.3">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0"/>
      <c r="BD120" s="10"/>
      <c r="BE120" s="10"/>
      <c r="BF120" s="10"/>
      <c r="BG120" s="10"/>
      <c r="BH120" s="10"/>
    </row>
    <row r="121" spans="1:60" x14ac:dyDescent="0.3">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c r="AI121" s="10"/>
      <c r="AJ121" s="10"/>
      <c r="AK121" s="10"/>
      <c r="AL121" s="10"/>
      <c r="AM121" s="10"/>
      <c r="AN121" s="10"/>
      <c r="AO121" s="10"/>
      <c r="AP121" s="10"/>
      <c r="AQ121" s="10"/>
      <c r="AR121" s="10"/>
      <c r="AS121" s="10"/>
      <c r="AT121" s="10"/>
      <c r="AU121" s="10"/>
      <c r="AV121" s="10"/>
      <c r="AW121" s="10"/>
      <c r="AX121" s="10"/>
      <c r="AY121" s="10"/>
      <c r="AZ121" s="10"/>
      <c r="BA121" s="10"/>
      <c r="BB121" s="10"/>
      <c r="BC121" s="10"/>
      <c r="BD121" s="10"/>
      <c r="BE121" s="10"/>
      <c r="BF121" s="10"/>
      <c r="BG121" s="10"/>
      <c r="BH121" s="10"/>
    </row>
    <row r="122" spans="1:60" x14ac:dyDescent="0.3">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c r="AO122" s="10"/>
      <c r="AP122" s="10"/>
      <c r="AQ122" s="10"/>
      <c r="AR122" s="10"/>
      <c r="AS122" s="10"/>
      <c r="AT122" s="10"/>
      <c r="AU122" s="10"/>
      <c r="AV122" s="10"/>
      <c r="AW122" s="10"/>
      <c r="AX122" s="10"/>
      <c r="AY122" s="10"/>
      <c r="AZ122" s="10"/>
      <c r="BA122" s="10"/>
      <c r="BB122" s="10"/>
      <c r="BC122" s="10"/>
      <c r="BD122" s="10"/>
      <c r="BE122" s="10"/>
      <c r="BF122" s="10"/>
      <c r="BG122" s="10"/>
      <c r="BH122" s="1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2B7A1-D016-4321-A367-8729F64ACD7A}">
  <sheetPr codeName="Sheet2"/>
  <dimension ref="A1:AG79"/>
  <sheetViews>
    <sheetView zoomScale="95" zoomScaleNormal="95" workbookViewId="0"/>
  </sheetViews>
  <sheetFormatPr defaultRowHeight="14.4" x14ac:dyDescent="0.3"/>
  <cols>
    <col min="1" max="1" width="4.5546875" bestFit="1" customWidth="1"/>
    <col min="3" max="3" width="9.109375" customWidth="1"/>
    <col min="7" max="7" width="11.88671875" customWidth="1"/>
    <col min="8" max="8" width="9" customWidth="1"/>
    <col min="9" max="9" width="10.33203125" customWidth="1"/>
    <col min="11" max="11" width="10" customWidth="1"/>
    <col min="12" max="12" width="19.33203125" customWidth="1"/>
    <col min="13" max="13" width="16.21875" customWidth="1"/>
    <col min="14" max="14" width="17.21875" customWidth="1"/>
    <col min="15" max="15" width="11.77734375" customWidth="1"/>
    <col min="16" max="16" width="15.21875" customWidth="1"/>
    <col min="17" max="17" width="9.88671875" bestFit="1" customWidth="1"/>
    <col min="18" max="20" width="12.5546875" customWidth="1"/>
    <col min="21" max="21" width="16.88671875" customWidth="1"/>
    <col min="22" max="22" width="15.33203125" customWidth="1"/>
    <col min="23" max="23" width="14.5546875" customWidth="1"/>
    <col min="24" max="24" width="15.44140625" customWidth="1"/>
    <col min="25" max="25" width="15.33203125" customWidth="1"/>
    <col min="26" max="26" width="17.109375" customWidth="1"/>
    <col min="27" max="27" width="13.21875" customWidth="1"/>
    <col min="28" max="28" width="12.77734375" customWidth="1"/>
    <col min="29" max="29" width="16.21875" customWidth="1"/>
    <col min="30" max="30" width="17.21875" customWidth="1"/>
    <col min="31" max="31" width="16.33203125" customWidth="1"/>
    <col min="32" max="32" width="12.21875" customWidth="1"/>
    <col min="33" max="33" width="15.5546875" customWidth="1"/>
  </cols>
  <sheetData>
    <row r="1" spans="1:33"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row>
    <row r="2" spans="1:33" x14ac:dyDescent="0.3">
      <c r="A2" t="s">
        <v>33</v>
      </c>
      <c r="B2" t="s">
        <v>238</v>
      </c>
      <c r="C2" t="s">
        <v>34</v>
      </c>
      <c r="D2" t="s">
        <v>35</v>
      </c>
      <c r="E2" t="s">
        <v>36</v>
      </c>
      <c r="F2">
        <v>32</v>
      </c>
      <c r="G2" t="s">
        <v>37</v>
      </c>
      <c r="H2" t="s">
        <v>38</v>
      </c>
      <c r="I2" t="s">
        <v>39</v>
      </c>
      <c r="J2" t="s">
        <v>40</v>
      </c>
      <c r="K2" s="1">
        <v>46440</v>
      </c>
      <c r="L2">
        <v>169</v>
      </c>
      <c r="M2" t="s">
        <v>41</v>
      </c>
      <c r="N2" s="1">
        <v>45966</v>
      </c>
      <c r="O2" s="1">
        <v>45969.347473796297</v>
      </c>
      <c r="P2" s="1">
        <v>45974.44821519676</v>
      </c>
      <c r="Q2" s="1">
        <v>45981.243482118058</v>
      </c>
      <c r="R2">
        <v>3.3</v>
      </c>
      <c r="S2">
        <v>5.0999999999999996</v>
      </c>
      <c r="T2">
        <v>6.8</v>
      </c>
      <c r="U2">
        <v>15.2</v>
      </c>
      <c r="V2">
        <v>9.5</v>
      </c>
      <c r="W2" t="s">
        <v>42</v>
      </c>
      <c r="X2" t="s">
        <v>40</v>
      </c>
      <c r="Y2" t="s">
        <v>43</v>
      </c>
      <c r="Z2" s="1" t="s">
        <v>44</v>
      </c>
      <c r="AA2">
        <v>46268</v>
      </c>
      <c r="AB2">
        <v>1</v>
      </c>
      <c r="AC2">
        <v>0</v>
      </c>
      <c r="AD2">
        <v>0</v>
      </c>
      <c r="AE2">
        <v>1</v>
      </c>
      <c r="AF2" t="s">
        <v>45</v>
      </c>
      <c r="AG2">
        <v>-1.43</v>
      </c>
    </row>
    <row r="3" spans="1:33" x14ac:dyDescent="0.3">
      <c r="A3" t="s">
        <v>46</v>
      </c>
      <c r="B3" t="s">
        <v>239</v>
      </c>
      <c r="C3" t="s">
        <v>47</v>
      </c>
      <c r="D3" t="s">
        <v>48</v>
      </c>
      <c r="E3" t="s">
        <v>49</v>
      </c>
      <c r="F3">
        <v>45</v>
      </c>
      <c r="G3" t="s">
        <v>50</v>
      </c>
      <c r="H3" t="s">
        <v>51</v>
      </c>
      <c r="I3" t="s">
        <v>39</v>
      </c>
      <c r="J3" t="s">
        <v>40</v>
      </c>
      <c r="K3" s="1">
        <v>46291</v>
      </c>
      <c r="L3">
        <v>20</v>
      </c>
      <c r="M3" t="s">
        <v>41</v>
      </c>
      <c r="N3" s="1">
        <v>45834</v>
      </c>
      <c r="O3" s="1">
        <v>45840.617574826392</v>
      </c>
      <c r="P3" s="1">
        <v>45846.797338935183</v>
      </c>
      <c r="Q3" s="1">
        <v>45849.01488357639</v>
      </c>
      <c r="R3">
        <v>6.6</v>
      </c>
      <c r="S3">
        <v>6.2</v>
      </c>
      <c r="T3">
        <v>2.2000000000000002</v>
      </c>
      <c r="U3">
        <v>15</v>
      </c>
      <c r="V3">
        <v>13.9</v>
      </c>
      <c r="W3" t="s">
        <v>52</v>
      </c>
      <c r="X3" t="s">
        <v>40</v>
      </c>
      <c r="Y3" t="s">
        <v>40</v>
      </c>
      <c r="Z3" s="1"/>
      <c r="AB3">
        <v>1</v>
      </c>
      <c r="AC3">
        <v>1</v>
      </c>
      <c r="AD3">
        <v>1</v>
      </c>
      <c r="AE3">
        <v>0</v>
      </c>
      <c r="AF3" t="s">
        <v>53</v>
      </c>
      <c r="AG3">
        <v>4.87</v>
      </c>
    </row>
    <row r="4" spans="1:33" x14ac:dyDescent="0.3">
      <c r="A4" t="s">
        <v>54</v>
      </c>
      <c r="B4" t="s">
        <v>240</v>
      </c>
      <c r="C4" t="s">
        <v>47</v>
      </c>
      <c r="D4" t="s">
        <v>48</v>
      </c>
      <c r="E4" t="s">
        <v>55</v>
      </c>
      <c r="F4">
        <v>25</v>
      </c>
      <c r="G4" t="s">
        <v>56</v>
      </c>
      <c r="H4" t="s">
        <v>38</v>
      </c>
      <c r="I4" t="s">
        <v>57</v>
      </c>
      <c r="J4" t="s">
        <v>40</v>
      </c>
      <c r="K4" s="1">
        <v>46280</v>
      </c>
      <c r="L4">
        <v>9</v>
      </c>
      <c r="M4" t="s">
        <v>58</v>
      </c>
      <c r="N4" s="1">
        <v>46012</v>
      </c>
      <c r="O4" s="1">
        <v>46019.652658611114</v>
      </c>
      <c r="P4" s="1">
        <v>46027.680367743058</v>
      </c>
      <c r="Q4" s="1">
        <v>46030.427932037041</v>
      </c>
      <c r="R4">
        <v>7.7</v>
      </c>
      <c r="S4">
        <v>8</v>
      </c>
      <c r="T4">
        <v>2.7</v>
      </c>
      <c r="U4">
        <v>18.399999999999999</v>
      </c>
      <c r="V4">
        <v>7.9</v>
      </c>
      <c r="W4" t="s">
        <v>42</v>
      </c>
      <c r="X4" t="s">
        <v>40</v>
      </c>
      <c r="Y4" t="s">
        <v>40</v>
      </c>
      <c r="Z4" s="1"/>
      <c r="AB4">
        <v>1</v>
      </c>
      <c r="AC4">
        <v>1</v>
      </c>
      <c r="AD4">
        <v>1</v>
      </c>
      <c r="AE4">
        <v>0</v>
      </c>
      <c r="AF4" t="s">
        <v>59</v>
      </c>
      <c r="AG4">
        <v>-5.86</v>
      </c>
    </row>
    <row r="5" spans="1:33" x14ac:dyDescent="0.3">
      <c r="A5" t="s">
        <v>60</v>
      </c>
      <c r="B5" t="s">
        <v>241</v>
      </c>
      <c r="C5" t="s">
        <v>61</v>
      </c>
      <c r="D5" t="s">
        <v>35</v>
      </c>
      <c r="E5" t="s">
        <v>62</v>
      </c>
      <c r="F5">
        <v>41</v>
      </c>
      <c r="G5" t="s">
        <v>50</v>
      </c>
      <c r="H5" t="s">
        <v>51</v>
      </c>
      <c r="I5" t="s">
        <v>39</v>
      </c>
      <c r="J5" t="s">
        <v>40</v>
      </c>
      <c r="K5" s="1">
        <v>46435</v>
      </c>
      <c r="L5">
        <v>164</v>
      </c>
      <c r="M5" t="s">
        <v>58</v>
      </c>
      <c r="N5" s="1">
        <v>46193</v>
      </c>
      <c r="O5" s="1">
        <v>46202.053445289355</v>
      </c>
      <c r="P5" s="1">
        <v>46212.714874722224</v>
      </c>
      <c r="Q5" s="1">
        <v>46216.377548842589</v>
      </c>
      <c r="R5">
        <v>9.1</v>
      </c>
      <c r="S5">
        <v>10.7</v>
      </c>
      <c r="T5">
        <v>3.7</v>
      </c>
      <c r="U5">
        <v>23.4</v>
      </c>
      <c r="V5">
        <v>1.8</v>
      </c>
      <c r="W5" t="s">
        <v>63</v>
      </c>
      <c r="X5" t="s">
        <v>40</v>
      </c>
      <c r="Y5" t="s">
        <v>40</v>
      </c>
      <c r="Z5" s="1"/>
      <c r="AB5">
        <v>1</v>
      </c>
      <c r="AC5">
        <v>0</v>
      </c>
      <c r="AD5">
        <v>0</v>
      </c>
      <c r="AE5">
        <v>0</v>
      </c>
      <c r="AF5" t="s">
        <v>64</v>
      </c>
      <c r="AG5">
        <v>-4.38</v>
      </c>
    </row>
    <row r="6" spans="1:33" x14ac:dyDescent="0.3">
      <c r="A6" t="s">
        <v>65</v>
      </c>
      <c r="B6" t="s">
        <v>242</v>
      </c>
      <c r="C6" t="s">
        <v>66</v>
      </c>
      <c r="D6" t="s">
        <v>48</v>
      </c>
      <c r="E6" t="s">
        <v>67</v>
      </c>
      <c r="F6">
        <v>61</v>
      </c>
      <c r="G6" t="s">
        <v>68</v>
      </c>
      <c r="H6" t="s">
        <v>38</v>
      </c>
      <c r="I6" t="s">
        <v>57</v>
      </c>
      <c r="J6" t="s">
        <v>40</v>
      </c>
      <c r="K6" s="1">
        <v>46765</v>
      </c>
      <c r="L6">
        <v>494</v>
      </c>
      <c r="M6" t="s">
        <v>58</v>
      </c>
      <c r="N6" s="1">
        <v>45863</v>
      </c>
      <c r="O6" s="1">
        <v>45871.606623356478</v>
      </c>
      <c r="P6" s="1">
        <v>45874.678961435187</v>
      </c>
      <c r="Q6" s="1">
        <v>45876.015634236108</v>
      </c>
      <c r="R6">
        <v>8.6</v>
      </c>
      <c r="S6">
        <v>3.1</v>
      </c>
      <c r="T6">
        <v>1.3</v>
      </c>
      <c r="U6">
        <v>13</v>
      </c>
      <c r="V6">
        <v>13</v>
      </c>
      <c r="W6" t="s">
        <v>52</v>
      </c>
      <c r="X6" t="s">
        <v>40</v>
      </c>
      <c r="Y6" t="s">
        <v>40</v>
      </c>
      <c r="Z6" s="1"/>
      <c r="AB6">
        <v>1</v>
      </c>
      <c r="AC6">
        <v>0</v>
      </c>
      <c r="AD6">
        <v>0</v>
      </c>
      <c r="AE6">
        <v>0</v>
      </c>
      <c r="AF6" t="s">
        <v>69</v>
      </c>
      <c r="AG6">
        <v>1.61</v>
      </c>
    </row>
    <row r="7" spans="1:33" x14ac:dyDescent="0.3">
      <c r="A7" t="s">
        <v>70</v>
      </c>
      <c r="B7" t="s">
        <v>243</v>
      </c>
      <c r="C7" t="s">
        <v>71</v>
      </c>
      <c r="D7" t="s">
        <v>48</v>
      </c>
      <c r="E7" t="s">
        <v>72</v>
      </c>
      <c r="F7">
        <v>47</v>
      </c>
      <c r="G7" t="s">
        <v>50</v>
      </c>
      <c r="H7" t="s">
        <v>38</v>
      </c>
      <c r="I7" t="s">
        <v>73</v>
      </c>
      <c r="J7" t="s">
        <v>40</v>
      </c>
      <c r="K7" s="1">
        <v>46686</v>
      </c>
      <c r="L7">
        <v>415</v>
      </c>
      <c r="M7" t="s">
        <v>74</v>
      </c>
      <c r="N7" s="1">
        <v>46144</v>
      </c>
      <c r="O7" s="1">
        <v>46146.858670891204</v>
      </c>
      <c r="P7" s="1">
        <v>46149.881416273151</v>
      </c>
      <c r="Q7" s="1">
        <v>46152.336253668982</v>
      </c>
      <c r="R7">
        <v>2.9</v>
      </c>
      <c r="S7">
        <v>3</v>
      </c>
      <c r="T7">
        <v>2.5</v>
      </c>
      <c r="U7">
        <v>8.3000000000000007</v>
      </c>
      <c r="V7">
        <v>3.9</v>
      </c>
      <c r="W7" t="s">
        <v>75</v>
      </c>
      <c r="X7" t="s">
        <v>40</v>
      </c>
      <c r="Y7" t="s">
        <v>40</v>
      </c>
      <c r="Z7" s="1"/>
      <c r="AB7">
        <v>1</v>
      </c>
      <c r="AC7">
        <v>0</v>
      </c>
      <c r="AD7">
        <v>0</v>
      </c>
      <c r="AE7">
        <v>0</v>
      </c>
      <c r="AF7" t="s">
        <v>76</v>
      </c>
      <c r="AG7">
        <v>5.57</v>
      </c>
    </row>
    <row r="8" spans="1:33" x14ac:dyDescent="0.3">
      <c r="A8" t="s">
        <v>77</v>
      </c>
      <c r="B8" t="s">
        <v>244</v>
      </c>
      <c r="C8" t="s">
        <v>78</v>
      </c>
      <c r="D8" t="s">
        <v>35</v>
      </c>
      <c r="E8" t="s">
        <v>79</v>
      </c>
      <c r="F8">
        <v>44</v>
      </c>
      <c r="G8" t="s">
        <v>50</v>
      </c>
      <c r="H8" t="s">
        <v>38</v>
      </c>
      <c r="I8" t="s">
        <v>73</v>
      </c>
      <c r="J8" t="s">
        <v>40</v>
      </c>
      <c r="K8" s="1">
        <v>46457</v>
      </c>
      <c r="L8">
        <v>186</v>
      </c>
      <c r="M8" t="s">
        <v>41</v>
      </c>
      <c r="N8" s="1">
        <v>45991</v>
      </c>
      <c r="O8" s="1">
        <v>46000.126110520832</v>
      </c>
      <c r="P8" s="1">
        <v>46010.879648703703</v>
      </c>
      <c r="Q8" s="1">
        <v>46013.129098379628</v>
      </c>
      <c r="R8">
        <v>9.1</v>
      </c>
      <c r="S8">
        <v>10.8</v>
      </c>
      <c r="T8">
        <v>2.2000000000000002</v>
      </c>
      <c r="U8">
        <v>22.1</v>
      </c>
      <c r="V8">
        <v>8.5</v>
      </c>
      <c r="W8" t="s">
        <v>42</v>
      </c>
      <c r="X8" t="s">
        <v>40</v>
      </c>
      <c r="Y8" t="s">
        <v>40</v>
      </c>
      <c r="Z8" s="1"/>
      <c r="AB8">
        <v>1</v>
      </c>
      <c r="AC8">
        <v>0</v>
      </c>
      <c r="AD8">
        <v>0</v>
      </c>
      <c r="AE8">
        <v>0</v>
      </c>
      <c r="AF8" t="s">
        <v>80</v>
      </c>
      <c r="AG8">
        <v>-1.83</v>
      </c>
    </row>
    <row r="9" spans="1:33" x14ac:dyDescent="0.3">
      <c r="A9" t="s">
        <v>81</v>
      </c>
      <c r="B9" t="s">
        <v>245</v>
      </c>
      <c r="C9" t="s">
        <v>78</v>
      </c>
      <c r="D9" t="s">
        <v>35</v>
      </c>
      <c r="E9" t="s">
        <v>82</v>
      </c>
      <c r="F9">
        <v>36</v>
      </c>
      <c r="G9" t="s">
        <v>37</v>
      </c>
      <c r="H9" t="s">
        <v>51</v>
      </c>
      <c r="I9" t="s">
        <v>73</v>
      </c>
      <c r="J9" t="s">
        <v>40</v>
      </c>
      <c r="K9" s="1">
        <v>46284</v>
      </c>
      <c r="L9">
        <v>13</v>
      </c>
      <c r="M9" t="s">
        <v>41</v>
      </c>
      <c r="N9" s="1">
        <v>45934</v>
      </c>
      <c r="O9" s="1">
        <v>45940.902669456016</v>
      </c>
      <c r="P9" s="1">
        <v>45946.999468321759</v>
      </c>
      <c r="Q9" s="1">
        <v>45955.648447662039</v>
      </c>
      <c r="R9">
        <v>6.9</v>
      </c>
      <c r="S9">
        <v>6.1</v>
      </c>
      <c r="T9">
        <v>8.6</v>
      </c>
      <c r="U9">
        <v>21.6</v>
      </c>
      <c r="V9">
        <v>10.4</v>
      </c>
      <c r="W9" t="s">
        <v>42</v>
      </c>
      <c r="X9" t="s">
        <v>40</v>
      </c>
      <c r="Y9" t="s">
        <v>43</v>
      </c>
      <c r="Z9" s="1" t="s">
        <v>44</v>
      </c>
      <c r="AA9">
        <v>46246</v>
      </c>
      <c r="AB9">
        <v>1</v>
      </c>
      <c r="AC9">
        <v>1</v>
      </c>
      <c r="AD9">
        <v>1</v>
      </c>
      <c r="AE9">
        <v>1</v>
      </c>
      <c r="AF9" t="s">
        <v>83</v>
      </c>
      <c r="AG9">
        <v>-5.8</v>
      </c>
    </row>
    <row r="10" spans="1:33" x14ac:dyDescent="0.3">
      <c r="A10" t="s">
        <v>84</v>
      </c>
      <c r="B10" t="s">
        <v>246</v>
      </c>
      <c r="C10" t="s">
        <v>34</v>
      </c>
      <c r="D10" t="s">
        <v>35</v>
      </c>
      <c r="E10" t="s">
        <v>36</v>
      </c>
      <c r="F10">
        <v>29</v>
      </c>
      <c r="G10" t="s">
        <v>56</v>
      </c>
      <c r="H10" t="s">
        <v>51</v>
      </c>
      <c r="I10" t="s">
        <v>85</v>
      </c>
      <c r="J10" t="s">
        <v>40</v>
      </c>
      <c r="K10" s="1">
        <v>46287</v>
      </c>
      <c r="L10">
        <v>16</v>
      </c>
      <c r="M10" t="s">
        <v>58</v>
      </c>
      <c r="N10" s="1">
        <v>45822</v>
      </c>
      <c r="O10" s="1">
        <v>45826.326994328701</v>
      </c>
      <c r="P10" s="1">
        <v>45837.15843221065</v>
      </c>
      <c r="Q10" s="1">
        <v>45840.968961261577</v>
      </c>
      <c r="R10">
        <v>4.3</v>
      </c>
      <c r="S10">
        <v>10.8</v>
      </c>
      <c r="T10">
        <v>3.8</v>
      </c>
      <c r="U10">
        <v>19</v>
      </c>
      <c r="V10">
        <v>14.1</v>
      </c>
      <c r="W10" t="s">
        <v>52</v>
      </c>
      <c r="X10" t="s">
        <v>40</v>
      </c>
      <c r="Y10" t="s">
        <v>86</v>
      </c>
      <c r="Z10" s="1" t="s">
        <v>87</v>
      </c>
      <c r="AA10">
        <v>46262</v>
      </c>
      <c r="AB10">
        <v>1</v>
      </c>
      <c r="AC10">
        <v>1</v>
      </c>
      <c r="AD10">
        <v>1</v>
      </c>
      <c r="AE10">
        <v>1</v>
      </c>
      <c r="AF10" t="s">
        <v>45</v>
      </c>
      <c r="AG10">
        <v>5.34</v>
      </c>
    </row>
    <row r="11" spans="1:33" x14ac:dyDescent="0.3">
      <c r="A11" t="s">
        <v>88</v>
      </c>
      <c r="B11" t="s">
        <v>247</v>
      </c>
      <c r="C11" t="s">
        <v>71</v>
      </c>
      <c r="D11" t="s">
        <v>48</v>
      </c>
      <c r="E11" t="s">
        <v>89</v>
      </c>
      <c r="F11">
        <v>29</v>
      </c>
      <c r="G11" t="s">
        <v>56</v>
      </c>
      <c r="H11" t="s">
        <v>38</v>
      </c>
      <c r="I11" t="s">
        <v>85</v>
      </c>
      <c r="J11" t="s">
        <v>40</v>
      </c>
      <c r="K11" s="1">
        <v>46282</v>
      </c>
      <c r="L11">
        <v>11</v>
      </c>
      <c r="M11" t="s">
        <v>58</v>
      </c>
      <c r="N11" s="1">
        <v>45998</v>
      </c>
      <c r="O11" s="1">
        <v>46007.918468958334</v>
      </c>
      <c r="P11" s="1">
        <v>46014.932922766202</v>
      </c>
      <c r="Q11" s="1">
        <v>46022.808356168978</v>
      </c>
      <c r="R11">
        <v>9.9</v>
      </c>
      <c r="S11">
        <v>7</v>
      </c>
      <c r="T11">
        <v>7.9</v>
      </c>
      <c r="U11">
        <v>24.8</v>
      </c>
      <c r="V11">
        <v>8.1999999999999993</v>
      </c>
      <c r="W11" t="s">
        <v>42</v>
      </c>
      <c r="X11" t="s">
        <v>40</v>
      </c>
      <c r="Y11" t="s">
        <v>90</v>
      </c>
      <c r="Z11" s="1" t="s">
        <v>91</v>
      </c>
      <c r="AA11">
        <v>46262</v>
      </c>
      <c r="AB11">
        <v>1</v>
      </c>
      <c r="AC11">
        <v>1</v>
      </c>
      <c r="AD11">
        <v>1</v>
      </c>
      <c r="AE11">
        <v>1</v>
      </c>
      <c r="AF11" t="s">
        <v>92</v>
      </c>
      <c r="AG11">
        <v>5.44</v>
      </c>
    </row>
    <row r="12" spans="1:33" x14ac:dyDescent="0.3">
      <c r="A12" t="s">
        <v>93</v>
      </c>
      <c r="B12" t="s">
        <v>248</v>
      </c>
      <c r="C12" t="s">
        <v>34</v>
      </c>
      <c r="D12" t="s">
        <v>35</v>
      </c>
      <c r="E12" t="s">
        <v>82</v>
      </c>
      <c r="F12">
        <v>32</v>
      </c>
      <c r="G12" t="s">
        <v>37</v>
      </c>
      <c r="H12" t="s">
        <v>51</v>
      </c>
      <c r="I12" t="s">
        <v>73</v>
      </c>
      <c r="J12" t="s">
        <v>40</v>
      </c>
      <c r="K12" s="1">
        <v>46290</v>
      </c>
      <c r="L12">
        <v>19</v>
      </c>
      <c r="M12" t="s">
        <v>58</v>
      </c>
      <c r="N12" s="1">
        <v>46031</v>
      </c>
      <c r="O12" s="1">
        <v>46034.073853888891</v>
      </c>
      <c r="P12" s="1">
        <v>46040.064955150461</v>
      </c>
      <c r="Q12" s="1">
        <v>46041.940598125002</v>
      </c>
      <c r="R12">
        <v>3.1</v>
      </c>
      <c r="S12">
        <v>6</v>
      </c>
      <c r="T12">
        <v>1.9</v>
      </c>
      <c r="U12">
        <v>10.9</v>
      </c>
      <c r="V12">
        <v>7.5</v>
      </c>
      <c r="W12" t="s">
        <v>42</v>
      </c>
      <c r="X12" t="s">
        <v>40</v>
      </c>
      <c r="Y12" t="s">
        <v>40</v>
      </c>
      <c r="Z12" s="1"/>
      <c r="AB12">
        <v>1</v>
      </c>
      <c r="AC12">
        <v>1</v>
      </c>
      <c r="AD12">
        <v>1</v>
      </c>
      <c r="AE12">
        <v>0</v>
      </c>
      <c r="AF12" t="s">
        <v>83</v>
      </c>
      <c r="AG12">
        <v>-1.21</v>
      </c>
    </row>
    <row r="13" spans="1:33" x14ac:dyDescent="0.3">
      <c r="A13" t="s">
        <v>94</v>
      </c>
      <c r="B13" t="s">
        <v>249</v>
      </c>
      <c r="C13" t="s">
        <v>78</v>
      </c>
      <c r="D13" t="s">
        <v>35</v>
      </c>
      <c r="E13" t="s">
        <v>36</v>
      </c>
      <c r="F13">
        <v>61</v>
      </c>
      <c r="G13" t="s">
        <v>68</v>
      </c>
      <c r="H13" t="s">
        <v>38</v>
      </c>
      <c r="I13" t="s">
        <v>73</v>
      </c>
      <c r="J13" t="s">
        <v>40</v>
      </c>
      <c r="K13" s="1">
        <v>46728</v>
      </c>
      <c r="L13">
        <v>457</v>
      </c>
      <c r="M13" t="s">
        <v>74</v>
      </c>
      <c r="N13" s="1">
        <v>45819</v>
      </c>
      <c r="O13" s="1">
        <v>45822.493638692133</v>
      </c>
      <c r="P13" s="1">
        <v>45831.188167777778</v>
      </c>
      <c r="Q13" s="1">
        <v>45839.918698784721</v>
      </c>
      <c r="R13">
        <v>3.5</v>
      </c>
      <c r="S13">
        <v>8.6999999999999993</v>
      </c>
      <c r="T13">
        <v>8.6999999999999993</v>
      </c>
      <c r="U13">
        <v>20.9</v>
      </c>
      <c r="V13">
        <v>14.2</v>
      </c>
      <c r="W13" t="s">
        <v>52</v>
      </c>
      <c r="X13" t="s">
        <v>40</v>
      </c>
      <c r="Y13" t="s">
        <v>40</v>
      </c>
      <c r="Z13" s="1"/>
      <c r="AB13">
        <v>1</v>
      </c>
      <c r="AC13">
        <v>0</v>
      </c>
      <c r="AD13">
        <v>0</v>
      </c>
      <c r="AE13">
        <v>0</v>
      </c>
      <c r="AF13" t="s">
        <v>45</v>
      </c>
      <c r="AG13">
        <v>-1.68</v>
      </c>
    </row>
    <row r="14" spans="1:33" x14ac:dyDescent="0.3">
      <c r="A14" t="s">
        <v>95</v>
      </c>
      <c r="B14" t="s">
        <v>250</v>
      </c>
      <c r="C14" t="s">
        <v>78</v>
      </c>
      <c r="D14" t="s">
        <v>35</v>
      </c>
      <c r="E14" t="s">
        <v>96</v>
      </c>
      <c r="F14">
        <v>34</v>
      </c>
      <c r="G14" t="s">
        <v>37</v>
      </c>
      <c r="H14" t="s">
        <v>51</v>
      </c>
      <c r="I14" t="s">
        <v>73</v>
      </c>
      <c r="J14" t="s">
        <v>40</v>
      </c>
      <c r="K14" s="1">
        <v>46601</v>
      </c>
      <c r="L14">
        <v>330</v>
      </c>
      <c r="M14" t="s">
        <v>58</v>
      </c>
      <c r="N14" s="1">
        <v>45881</v>
      </c>
      <c r="O14" s="1">
        <v>45885.208315763892</v>
      </c>
      <c r="P14" s="1">
        <v>45896.163912256947</v>
      </c>
      <c r="Q14" s="1">
        <v>45901.015693217596</v>
      </c>
      <c r="R14">
        <v>4.2</v>
      </c>
      <c r="S14">
        <v>11</v>
      </c>
      <c r="T14">
        <v>4.9000000000000004</v>
      </c>
      <c r="U14">
        <v>20</v>
      </c>
      <c r="V14">
        <v>12.2</v>
      </c>
      <c r="W14" t="s">
        <v>52</v>
      </c>
      <c r="X14" t="s">
        <v>40</v>
      </c>
      <c r="Y14" t="s">
        <v>40</v>
      </c>
      <c r="Z14" s="1"/>
      <c r="AB14">
        <v>1</v>
      </c>
      <c r="AC14">
        <v>0</v>
      </c>
      <c r="AD14">
        <v>0</v>
      </c>
      <c r="AE14">
        <v>0</v>
      </c>
      <c r="AF14" t="s">
        <v>97</v>
      </c>
      <c r="AG14">
        <v>5.57</v>
      </c>
    </row>
    <row r="15" spans="1:33" x14ac:dyDescent="0.3">
      <c r="A15" t="s">
        <v>98</v>
      </c>
      <c r="B15" t="s">
        <v>251</v>
      </c>
      <c r="C15" t="s">
        <v>99</v>
      </c>
      <c r="D15" t="s">
        <v>48</v>
      </c>
      <c r="E15" t="s">
        <v>100</v>
      </c>
      <c r="F15">
        <v>57</v>
      </c>
      <c r="G15" t="s">
        <v>101</v>
      </c>
      <c r="H15" t="s">
        <v>38</v>
      </c>
      <c r="I15" t="s">
        <v>39</v>
      </c>
      <c r="J15" t="s">
        <v>40</v>
      </c>
      <c r="K15" s="1">
        <v>46710</v>
      </c>
      <c r="L15">
        <v>439</v>
      </c>
      <c r="M15" t="s">
        <v>74</v>
      </c>
      <c r="N15" s="1">
        <v>46043</v>
      </c>
      <c r="O15" s="1">
        <v>46048.747959756947</v>
      </c>
      <c r="P15" s="1">
        <v>46057.227992928238</v>
      </c>
      <c r="Q15" s="1">
        <v>46059.459364606482</v>
      </c>
      <c r="R15">
        <v>5.7</v>
      </c>
      <c r="S15">
        <v>8.5</v>
      </c>
      <c r="T15">
        <v>2.2000000000000002</v>
      </c>
      <c r="U15">
        <v>16.5</v>
      </c>
      <c r="V15">
        <v>7</v>
      </c>
      <c r="W15" t="s">
        <v>42</v>
      </c>
      <c r="X15" t="s">
        <v>40</v>
      </c>
      <c r="Y15" t="s">
        <v>40</v>
      </c>
      <c r="Z15" s="1"/>
      <c r="AB15">
        <v>1</v>
      </c>
      <c r="AC15">
        <v>0</v>
      </c>
      <c r="AD15">
        <v>0</v>
      </c>
      <c r="AE15">
        <v>0</v>
      </c>
      <c r="AF15" t="s">
        <v>102</v>
      </c>
      <c r="AG15">
        <v>-2.63</v>
      </c>
    </row>
    <row r="16" spans="1:33" x14ac:dyDescent="0.3">
      <c r="A16" t="s">
        <v>103</v>
      </c>
      <c r="B16" t="s">
        <v>252</v>
      </c>
      <c r="C16" t="s">
        <v>66</v>
      </c>
      <c r="D16" t="s">
        <v>48</v>
      </c>
      <c r="E16" t="s">
        <v>104</v>
      </c>
      <c r="F16">
        <v>24</v>
      </c>
      <c r="G16" t="s">
        <v>56</v>
      </c>
      <c r="H16" t="s">
        <v>38</v>
      </c>
      <c r="I16" t="s">
        <v>39</v>
      </c>
      <c r="J16" t="s">
        <v>40</v>
      </c>
      <c r="K16" s="1">
        <v>46307</v>
      </c>
      <c r="L16">
        <v>36</v>
      </c>
      <c r="M16" t="s">
        <v>74</v>
      </c>
      <c r="N16" s="1">
        <v>45987</v>
      </c>
      <c r="O16" s="1">
        <v>45993.198863148151</v>
      </c>
      <c r="P16" s="1">
        <v>45998.813125081018</v>
      </c>
      <c r="Q16" s="1">
        <v>46005.10390008102</v>
      </c>
      <c r="R16">
        <v>6.2</v>
      </c>
      <c r="S16">
        <v>5.6</v>
      </c>
      <c r="T16">
        <v>6.3</v>
      </c>
      <c r="U16">
        <v>18.100000000000001</v>
      </c>
      <c r="V16">
        <v>8.6999999999999993</v>
      </c>
      <c r="W16" t="s">
        <v>42</v>
      </c>
      <c r="X16" t="s">
        <v>40</v>
      </c>
      <c r="Y16" t="s">
        <v>40</v>
      </c>
      <c r="Z16" s="1"/>
      <c r="AB16">
        <v>1</v>
      </c>
      <c r="AC16">
        <v>0</v>
      </c>
      <c r="AD16">
        <v>1</v>
      </c>
      <c r="AE16">
        <v>0</v>
      </c>
      <c r="AF16" t="s">
        <v>105</v>
      </c>
      <c r="AG16">
        <v>-3.43</v>
      </c>
    </row>
    <row r="17" spans="1:33" x14ac:dyDescent="0.3">
      <c r="A17" t="s">
        <v>106</v>
      </c>
      <c r="B17" t="s">
        <v>253</v>
      </c>
      <c r="C17" t="s">
        <v>34</v>
      </c>
      <c r="D17" t="s">
        <v>35</v>
      </c>
      <c r="E17" t="s">
        <v>62</v>
      </c>
      <c r="F17">
        <v>46</v>
      </c>
      <c r="G17" t="s">
        <v>50</v>
      </c>
      <c r="H17" t="s">
        <v>38</v>
      </c>
      <c r="I17" t="s">
        <v>57</v>
      </c>
      <c r="J17" t="s">
        <v>40</v>
      </c>
      <c r="K17" s="1">
        <v>46687</v>
      </c>
      <c r="L17">
        <v>416</v>
      </c>
      <c r="M17" t="s">
        <v>41</v>
      </c>
      <c r="N17" s="1">
        <v>45909</v>
      </c>
      <c r="O17" s="1">
        <v>45916.016774166666</v>
      </c>
      <c r="P17" s="1">
        <v>45922.446746585651</v>
      </c>
      <c r="Q17" s="1">
        <v>45924.088458171296</v>
      </c>
      <c r="R17">
        <v>7</v>
      </c>
      <c r="S17">
        <v>6.4</v>
      </c>
      <c r="T17">
        <v>1.6</v>
      </c>
      <c r="U17">
        <v>15.1</v>
      </c>
      <c r="V17">
        <v>11.4</v>
      </c>
      <c r="W17" t="s">
        <v>42</v>
      </c>
      <c r="X17" t="s">
        <v>40</v>
      </c>
      <c r="Y17" t="s">
        <v>40</v>
      </c>
      <c r="Z17" s="1"/>
      <c r="AB17">
        <v>1</v>
      </c>
      <c r="AC17">
        <v>0</v>
      </c>
      <c r="AD17">
        <v>0</v>
      </c>
      <c r="AE17">
        <v>0</v>
      </c>
      <c r="AF17" t="s">
        <v>64</v>
      </c>
      <c r="AG17">
        <v>-5.57</v>
      </c>
    </row>
    <row r="18" spans="1:33" x14ac:dyDescent="0.3">
      <c r="A18" t="s">
        <v>107</v>
      </c>
      <c r="B18" t="s">
        <v>254</v>
      </c>
      <c r="C18" t="s">
        <v>34</v>
      </c>
      <c r="D18" t="s">
        <v>35</v>
      </c>
      <c r="E18" t="s">
        <v>79</v>
      </c>
      <c r="F18">
        <v>30</v>
      </c>
      <c r="G18" t="s">
        <v>37</v>
      </c>
      <c r="H18" t="s">
        <v>51</v>
      </c>
      <c r="I18" t="s">
        <v>85</v>
      </c>
      <c r="J18" t="s">
        <v>40</v>
      </c>
      <c r="K18" s="1">
        <v>46342</v>
      </c>
      <c r="L18">
        <v>71</v>
      </c>
      <c r="M18" t="s">
        <v>58</v>
      </c>
      <c r="N18" s="1">
        <v>46137</v>
      </c>
      <c r="O18" s="1">
        <v>46146.809517118054</v>
      </c>
      <c r="P18" s="1">
        <v>46153.621149976854</v>
      </c>
      <c r="Q18" s="1">
        <v>46156.278711319443</v>
      </c>
      <c r="R18">
        <v>9.8000000000000007</v>
      </c>
      <c r="S18">
        <v>6.8</v>
      </c>
      <c r="T18">
        <v>2.7</v>
      </c>
      <c r="U18">
        <v>19.3</v>
      </c>
      <c r="V18">
        <v>3.8</v>
      </c>
      <c r="W18" t="s">
        <v>75</v>
      </c>
      <c r="X18" t="s">
        <v>40</v>
      </c>
      <c r="Y18" t="s">
        <v>40</v>
      </c>
      <c r="Z18" s="1"/>
      <c r="AB18">
        <v>1</v>
      </c>
      <c r="AC18">
        <v>0</v>
      </c>
      <c r="AD18">
        <v>1</v>
      </c>
      <c r="AE18">
        <v>0</v>
      </c>
      <c r="AF18" t="s">
        <v>80</v>
      </c>
      <c r="AG18">
        <v>-1.62</v>
      </c>
    </row>
    <row r="19" spans="1:33" x14ac:dyDescent="0.3">
      <c r="A19" t="s">
        <v>108</v>
      </c>
      <c r="B19" t="s">
        <v>255</v>
      </c>
      <c r="C19" t="s">
        <v>34</v>
      </c>
      <c r="D19" t="s">
        <v>35</v>
      </c>
      <c r="E19" t="s">
        <v>36</v>
      </c>
      <c r="F19">
        <v>47</v>
      </c>
      <c r="G19" t="s">
        <v>50</v>
      </c>
      <c r="H19" t="s">
        <v>51</v>
      </c>
      <c r="I19" t="s">
        <v>109</v>
      </c>
      <c r="J19" t="s">
        <v>40</v>
      </c>
      <c r="K19" s="1">
        <v>46319</v>
      </c>
      <c r="L19">
        <v>48</v>
      </c>
      <c r="M19" t="s">
        <v>74</v>
      </c>
      <c r="N19" s="1">
        <v>45834</v>
      </c>
      <c r="O19" s="1">
        <v>45836.051610393515</v>
      </c>
      <c r="P19" s="1">
        <v>45846.013951273148</v>
      </c>
      <c r="Q19" s="1">
        <v>45851.310134502317</v>
      </c>
      <c r="R19">
        <v>2.1</v>
      </c>
      <c r="S19">
        <v>10</v>
      </c>
      <c r="T19">
        <v>5.3</v>
      </c>
      <c r="U19">
        <v>17.3</v>
      </c>
      <c r="V19">
        <v>13.8</v>
      </c>
      <c r="W19" t="s">
        <v>52</v>
      </c>
      <c r="X19" t="s">
        <v>40</v>
      </c>
      <c r="Y19" t="s">
        <v>40</v>
      </c>
      <c r="Z19" s="1"/>
      <c r="AB19">
        <v>1</v>
      </c>
      <c r="AC19">
        <v>0</v>
      </c>
      <c r="AD19">
        <v>1</v>
      </c>
      <c r="AE19">
        <v>0</v>
      </c>
      <c r="AF19" t="s">
        <v>45</v>
      </c>
      <c r="AG19">
        <v>-3.9</v>
      </c>
    </row>
    <row r="20" spans="1:33" x14ac:dyDescent="0.3">
      <c r="A20" t="s">
        <v>110</v>
      </c>
      <c r="B20" t="s">
        <v>256</v>
      </c>
      <c r="C20" t="s">
        <v>71</v>
      </c>
      <c r="D20" t="s">
        <v>48</v>
      </c>
      <c r="E20" t="s">
        <v>111</v>
      </c>
      <c r="F20">
        <v>56</v>
      </c>
      <c r="G20" t="s">
        <v>101</v>
      </c>
      <c r="H20" t="s">
        <v>51</v>
      </c>
      <c r="I20" t="s">
        <v>109</v>
      </c>
      <c r="J20" t="s">
        <v>40</v>
      </c>
      <c r="K20" s="1">
        <v>46271</v>
      </c>
      <c r="L20">
        <v>0</v>
      </c>
      <c r="M20" t="s">
        <v>41</v>
      </c>
      <c r="N20" s="1">
        <v>46032</v>
      </c>
      <c r="O20" s="1">
        <v>46038.242064930557</v>
      </c>
      <c r="P20" s="1">
        <v>46041.945180532406</v>
      </c>
      <c r="Q20" s="1">
        <v>46046.373059965277</v>
      </c>
      <c r="R20">
        <v>6.2</v>
      </c>
      <c r="S20">
        <v>3.7</v>
      </c>
      <c r="T20">
        <v>4.4000000000000004</v>
      </c>
      <c r="U20">
        <v>14.4</v>
      </c>
      <c r="V20">
        <v>7.4</v>
      </c>
      <c r="W20" t="s">
        <v>42</v>
      </c>
      <c r="X20" t="s">
        <v>40</v>
      </c>
      <c r="Y20" t="s">
        <v>40</v>
      </c>
      <c r="Z20" s="1"/>
      <c r="AB20">
        <v>1</v>
      </c>
      <c r="AC20">
        <v>1</v>
      </c>
      <c r="AD20">
        <v>1</v>
      </c>
      <c r="AE20">
        <v>0</v>
      </c>
      <c r="AF20" t="s">
        <v>112</v>
      </c>
      <c r="AG20">
        <v>1.96</v>
      </c>
    </row>
    <row r="21" spans="1:33" x14ac:dyDescent="0.3">
      <c r="A21" t="s">
        <v>113</v>
      </c>
      <c r="B21" t="s">
        <v>257</v>
      </c>
      <c r="C21" t="s">
        <v>47</v>
      </c>
      <c r="D21" t="s">
        <v>48</v>
      </c>
      <c r="E21" t="s">
        <v>82</v>
      </c>
      <c r="F21">
        <v>56</v>
      </c>
      <c r="G21" t="s">
        <v>101</v>
      </c>
      <c r="H21" t="s">
        <v>38</v>
      </c>
      <c r="I21" t="s">
        <v>57</v>
      </c>
      <c r="J21" t="s">
        <v>40</v>
      </c>
      <c r="K21" s="1">
        <v>46607</v>
      </c>
      <c r="L21">
        <v>336</v>
      </c>
      <c r="M21" t="s">
        <v>41</v>
      </c>
      <c r="N21" s="1">
        <v>46197</v>
      </c>
      <c r="O21" s="1">
        <v>46204.716057905091</v>
      </c>
      <c r="P21" s="1">
        <v>46213.607205416665</v>
      </c>
      <c r="Q21" s="1">
        <v>46220.386943969905</v>
      </c>
      <c r="R21">
        <v>7.7</v>
      </c>
      <c r="S21">
        <v>8.9</v>
      </c>
      <c r="T21">
        <v>6.8</v>
      </c>
      <c r="U21">
        <v>23.4</v>
      </c>
      <c r="V21">
        <v>1.7</v>
      </c>
      <c r="W21" t="s">
        <v>63</v>
      </c>
      <c r="X21" t="s">
        <v>40</v>
      </c>
      <c r="Y21" t="s">
        <v>40</v>
      </c>
      <c r="Z21" s="1"/>
      <c r="AB21">
        <v>1</v>
      </c>
      <c r="AC21">
        <v>0</v>
      </c>
      <c r="AD21">
        <v>0</v>
      </c>
      <c r="AE21">
        <v>0</v>
      </c>
      <c r="AF21" t="s">
        <v>83</v>
      </c>
      <c r="AG21">
        <v>-1.68</v>
      </c>
    </row>
    <row r="22" spans="1:33" x14ac:dyDescent="0.3">
      <c r="A22" t="s">
        <v>114</v>
      </c>
      <c r="B22" t="s">
        <v>258</v>
      </c>
      <c r="C22" t="s">
        <v>71</v>
      </c>
      <c r="D22" t="s">
        <v>48</v>
      </c>
      <c r="E22" t="s">
        <v>115</v>
      </c>
      <c r="F22">
        <v>31</v>
      </c>
      <c r="G22" t="s">
        <v>37</v>
      </c>
      <c r="H22" t="s">
        <v>51</v>
      </c>
      <c r="I22" t="s">
        <v>39</v>
      </c>
      <c r="J22" t="s">
        <v>40</v>
      </c>
      <c r="K22" s="1">
        <v>46333</v>
      </c>
      <c r="L22">
        <v>62</v>
      </c>
      <c r="M22" t="s">
        <v>74</v>
      </c>
      <c r="N22" s="1">
        <v>45972</v>
      </c>
      <c r="O22" s="1">
        <v>45974.886707118058</v>
      </c>
      <c r="P22" s="1">
        <v>45980.367400625</v>
      </c>
      <c r="Q22" s="1">
        <v>45988.29426145833</v>
      </c>
      <c r="R22">
        <v>2.9</v>
      </c>
      <c r="S22">
        <v>5.5</v>
      </c>
      <c r="T22">
        <v>7.9</v>
      </c>
      <c r="U22">
        <v>16.3</v>
      </c>
      <c r="V22">
        <v>9.3000000000000007</v>
      </c>
      <c r="W22" t="s">
        <v>42</v>
      </c>
      <c r="X22" t="s">
        <v>40</v>
      </c>
      <c r="Y22" t="s">
        <v>40</v>
      </c>
      <c r="Z22" s="1"/>
      <c r="AB22">
        <v>1</v>
      </c>
      <c r="AC22">
        <v>0</v>
      </c>
      <c r="AD22">
        <v>1</v>
      </c>
      <c r="AE22">
        <v>0</v>
      </c>
      <c r="AF22" t="s">
        <v>116</v>
      </c>
      <c r="AG22">
        <v>2.63</v>
      </c>
    </row>
    <row r="23" spans="1:33" x14ac:dyDescent="0.3">
      <c r="A23" t="s">
        <v>117</v>
      </c>
      <c r="B23" t="s">
        <v>259</v>
      </c>
      <c r="C23" t="s">
        <v>78</v>
      </c>
      <c r="D23" t="s">
        <v>35</v>
      </c>
      <c r="E23" t="s">
        <v>104</v>
      </c>
      <c r="F23">
        <v>38</v>
      </c>
      <c r="G23" t="s">
        <v>37</v>
      </c>
      <c r="H23" t="s">
        <v>38</v>
      </c>
      <c r="I23" t="s">
        <v>57</v>
      </c>
      <c r="J23" t="s">
        <v>40</v>
      </c>
      <c r="K23" s="1">
        <v>46344</v>
      </c>
      <c r="L23">
        <v>73</v>
      </c>
      <c r="M23" t="s">
        <v>74</v>
      </c>
      <c r="N23" s="1">
        <v>46077</v>
      </c>
      <c r="O23" s="1">
        <v>46080.564983194447</v>
      </c>
      <c r="P23" s="1">
        <v>46086.048498564815</v>
      </c>
      <c r="Q23" s="1">
        <v>46091.878105833333</v>
      </c>
      <c r="R23">
        <v>3.6</v>
      </c>
      <c r="S23">
        <v>5.5</v>
      </c>
      <c r="T23">
        <v>5.8</v>
      </c>
      <c r="U23">
        <v>14.9</v>
      </c>
      <c r="V23">
        <v>5.9</v>
      </c>
      <c r="W23" t="s">
        <v>75</v>
      </c>
      <c r="X23" t="s">
        <v>40</v>
      </c>
      <c r="Y23" t="s">
        <v>40</v>
      </c>
      <c r="Z23" s="1"/>
      <c r="AB23">
        <v>1</v>
      </c>
      <c r="AC23">
        <v>0</v>
      </c>
      <c r="AD23">
        <v>1</v>
      </c>
      <c r="AE23">
        <v>0</v>
      </c>
      <c r="AF23" t="s">
        <v>105</v>
      </c>
      <c r="AG23">
        <v>-5.45</v>
      </c>
    </row>
    <row r="24" spans="1:33" x14ac:dyDescent="0.3">
      <c r="A24" t="s">
        <v>118</v>
      </c>
      <c r="B24" t="s">
        <v>260</v>
      </c>
      <c r="C24" t="s">
        <v>119</v>
      </c>
      <c r="D24" t="s">
        <v>35</v>
      </c>
      <c r="E24" t="s">
        <v>120</v>
      </c>
      <c r="F24">
        <v>64</v>
      </c>
      <c r="G24" t="s">
        <v>68</v>
      </c>
      <c r="H24" t="s">
        <v>51</v>
      </c>
      <c r="I24" t="s">
        <v>57</v>
      </c>
      <c r="J24" t="s">
        <v>40</v>
      </c>
      <c r="K24" s="1">
        <v>46772</v>
      </c>
      <c r="L24">
        <v>501</v>
      </c>
      <c r="M24" t="s">
        <v>58</v>
      </c>
      <c r="N24" s="1">
        <v>45828</v>
      </c>
      <c r="O24" s="1">
        <v>45833.486205312503</v>
      </c>
      <c r="P24" s="1">
        <v>45842.549607997687</v>
      </c>
      <c r="Q24" s="1">
        <v>45847.771417581018</v>
      </c>
      <c r="R24">
        <v>5.5</v>
      </c>
      <c r="S24">
        <v>9.1</v>
      </c>
      <c r="T24">
        <v>5.2</v>
      </c>
      <c r="U24">
        <v>19.8</v>
      </c>
      <c r="V24">
        <v>13.9</v>
      </c>
      <c r="W24" t="s">
        <v>52</v>
      </c>
      <c r="X24" t="s">
        <v>40</v>
      </c>
      <c r="Y24" t="s">
        <v>40</v>
      </c>
      <c r="Z24" s="1"/>
      <c r="AB24">
        <v>1</v>
      </c>
      <c r="AC24">
        <v>0</v>
      </c>
      <c r="AD24">
        <v>0</v>
      </c>
      <c r="AE24">
        <v>0</v>
      </c>
      <c r="AF24" t="s">
        <v>121</v>
      </c>
      <c r="AG24">
        <v>2.21</v>
      </c>
    </row>
    <row r="25" spans="1:33" x14ac:dyDescent="0.3">
      <c r="A25" t="s">
        <v>122</v>
      </c>
      <c r="B25" t="s">
        <v>261</v>
      </c>
      <c r="C25" t="s">
        <v>99</v>
      </c>
      <c r="D25" t="s">
        <v>48</v>
      </c>
      <c r="E25" t="s">
        <v>67</v>
      </c>
      <c r="F25">
        <v>25</v>
      </c>
      <c r="G25" t="s">
        <v>56</v>
      </c>
      <c r="H25" t="s">
        <v>51</v>
      </c>
      <c r="I25" t="s">
        <v>57</v>
      </c>
      <c r="J25" t="s">
        <v>40</v>
      </c>
      <c r="K25" s="1">
        <v>46378</v>
      </c>
      <c r="L25">
        <v>107</v>
      </c>
      <c r="M25" t="s">
        <v>74</v>
      </c>
      <c r="N25" s="1">
        <v>45843</v>
      </c>
      <c r="O25" s="1">
        <v>45846.147434872684</v>
      </c>
      <c r="P25" s="1">
        <v>45856.050249560183</v>
      </c>
      <c r="Q25" s="1">
        <v>45859.805509189813</v>
      </c>
      <c r="R25">
        <v>3.1</v>
      </c>
      <c r="S25">
        <v>9.9</v>
      </c>
      <c r="T25">
        <v>3.8</v>
      </c>
      <c r="U25">
        <v>16.8</v>
      </c>
      <c r="V25">
        <v>13.5</v>
      </c>
      <c r="W25" t="s">
        <v>52</v>
      </c>
      <c r="X25" t="s">
        <v>40</v>
      </c>
      <c r="Y25" t="s">
        <v>40</v>
      </c>
      <c r="Z25" s="1"/>
      <c r="AB25">
        <v>1</v>
      </c>
      <c r="AC25">
        <v>0</v>
      </c>
      <c r="AD25">
        <v>0</v>
      </c>
      <c r="AE25">
        <v>0</v>
      </c>
      <c r="AF25" t="s">
        <v>69</v>
      </c>
      <c r="AG25">
        <v>-3.32</v>
      </c>
    </row>
    <row r="26" spans="1:33" x14ac:dyDescent="0.3">
      <c r="A26" t="s">
        <v>123</v>
      </c>
      <c r="B26" t="s">
        <v>262</v>
      </c>
      <c r="C26" t="s">
        <v>47</v>
      </c>
      <c r="D26" t="s">
        <v>48</v>
      </c>
      <c r="E26" t="s">
        <v>89</v>
      </c>
      <c r="F26">
        <v>30</v>
      </c>
      <c r="G26" t="s">
        <v>37</v>
      </c>
      <c r="H26" t="s">
        <v>38</v>
      </c>
      <c r="I26" t="s">
        <v>73</v>
      </c>
      <c r="J26" t="s">
        <v>40</v>
      </c>
      <c r="K26" s="1">
        <v>46772</v>
      </c>
      <c r="L26">
        <v>501</v>
      </c>
      <c r="M26" t="s">
        <v>58</v>
      </c>
      <c r="N26" s="1">
        <v>45910</v>
      </c>
      <c r="O26" s="1">
        <v>45917.261465462965</v>
      </c>
      <c r="P26" s="1">
        <v>45926.569705509261</v>
      </c>
      <c r="Q26" s="1">
        <v>45929.972296990738</v>
      </c>
      <c r="R26">
        <v>7.3</v>
      </c>
      <c r="S26">
        <v>9.3000000000000007</v>
      </c>
      <c r="T26">
        <v>3.4</v>
      </c>
      <c r="U26">
        <v>20</v>
      </c>
      <c r="V26">
        <v>11.2</v>
      </c>
      <c r="W26" t="s">
        <v>42</v>
      </c>
      <c r="X26" t="s">
        <v>40</v>
      </c>
      <c r="Y26" t="s">
        <v>40</v>
      </c>
      <c r="Z26" s="1"/>
      <c r="AB26">
        <v>1</v>
      </c>
      <c r="AC26">
        <v>0</v>
      </c>
      <c r="AD26">
        <v>0</v>
      </c>
      <c r="AE26">
        <v>0</v>
      </c>
      <c r="AF26" t="s">
        <v>92</v>
      </c>
      <c r="AG26">
        <v>3.98</v>
      </c>
    </row>
    <row r="27" spans="1:33" x14ac:dyDescent="0.3">
      <c r="A27" t="s">
        <v>124</v>
      </c>
      <c r="B27" t="s">
        <v>263</v>
      </c>
      <c r="C27" t="s">
        <v>66</v>
      </c>
      <c r="D27" t="s">
        <v>48</v>
      </c>
      <c r="E27" t="s">
        <v>111</v>
      </c>
      <c r="F27">
        <v>55</v>
      </c>
      <c r="G27" t="s">
        <v>101</v>
      </c>
      <c r="H27" t="s">
        <v>51</v>
      </c>
      <c r="I27" t="s">
        <v>57</v>
      </c>
      <c r="J27" t="s">
        <v>40</v>
      </c>
      <c r="K27" s="1">
        <v>46516</v>
      </c>
      <c r="L27">
        <v>245</v>
      </c>
      <c r="M27" t="s">
        <v>41</v>
      </c>
      <c r="N27" s="1">
        <v>45946</v>
      </c>
      <c r="O27" s="1">
        <v>45949.235848425924</v>
      </c>
      <c r="P27" s="1">
        <v>45959.29666216435</v>
      </c>
      <c r="Q27" s="1">
        <v>45967.6607205787</v>
      </c>
      <c r="R27">
        <v>3.2</v>
      </c>
      <c r="S27">
        <v>10.1</v>
      </c>
      <c r="T27">
        <v>8.4</v>
      </c>
      <c r="U27">
        <v>21.7</v>
      </c>
      <c r="V27">
        <v>10</v>
      </c>
      <c r="W27" t="s">
        <v>42</v>
      </c>
      <c r="X27" t="s">
        <v>40</v>
      </c>
      <c r="Y27" t="s">
        <v>86</v>
      </c>
      <c r="Z27" s="1" t="s">
        <v>87</v>
      </c>
      <c r="AA27">
        <v>46262</v>
      </c>
      <c r="AB27">
        <v>1</v>
      </c>
      <c r="AC27">
        <v>0</v>
      </c>
      <c r="AD27">
        <v>0</v>
      </c>
      <c r="AE27">
        <v>1</v>
      </c>
      <c r="AF27" t="s">
        <v>112</v>
      </c>
      <c r="AG27">
        <v>3.39</v>
      </c>
    </row>
    <row r="28" spans="1:33" x14ac:dyDescent="0.3">
      <c r="A28" t="s">
        <v>125</v>
      </c>
      <c r="B28" t="s">
        <v>264</v>
      </c>
      <c r="C28" t="s">
        <v>61</v>
      </c>
      <c r="D28" t="s">
        <v>35</v>
      </c>
      <c r="E28" t="s">
        <v>36</v>
      </c>
      <c r="F28">
        <v>64</v>
      </c>
      <c r="G28" t="s">
        <v>68</v>
      </c>
      <c r="H28" t="s">
        <v>38</v>
      </c>
      <c r="I28" t="s">
        <v>85</v>
      </c>
      <c r="J28" t="s">
        <v>40</v>
      </c>
      <c r="K28" s="1">
        <v>46341</v>
      </c>
      <c r="L28">
        <v>70</v>
      </c>
      <c r="M28" t="s">
        <v>41</v>
      </c>
      <c r="N28" s="1">
        <v>45980</v>
      </c>
      <c r="O28" s="1">
        <v>45989.675365995368</v>
      </c>
      <c r="P28" s="1">
        <v>45995.010790775465</v>
      </c>
      <c r="Q28" s="1">
        <v>45999.164565358798</v>
      </c>
      <c r="R28">
        <v>9.6999999999999993</v>
      </c>
      <c r="S28">
        <v>5.3</v>
      </c>
      <c r="T28">
        <v>4.2</v>
      </c>
      <c r="U28">
        <v>19.2</v>
      </c>
      <c r="V28">
        <v>8.9</v>
      </c>
      <c r="W28" t="s">
        <v>42</v>
      </c>
      <c r="X28" t="s">
        <v>40</v>
      </c>
      <c r="Y28" t="s">
        <v>40</v>
      </c>
      <c r="Z28" s="1"/>
      <c r="AB28">
        <v>1</v>
      </c>
      <c r="AC28">
        <v>0</v>
      </c>
      <c r="AD28">
        <v>1</v>
      </c>
      <c r="AE28">
        <v>0</v>
      </c>
      <c r="AF28" t="s">
        <v>45</v>
      </c>
      <c r="AG28">
        <v>-2.2799999999999998</v>
      </c>
    </row>
    <row r="29" spans="1:33" x14ac:dyDescent="0.3">
      <c r="A29" t="s">
        <v>126</v>
      </c>
      <c r="B29" t="s">
        <v>265</v>
      </c>
      <c r="C29" t="s">
        <v>99</v>
      </c>
      <c r="D29" t="s">
        <v>48</v>
      </c>
      <c r="E29" t="s">
        <v>49</v>
      </c>
      <c r="F29">
        <v>60</v>
      </c>
      <c r="G29" t="s">
        <v>68</v>
      </c>
      <c r="H29" t="s">
        <v>51</v>
      </c>
      <c r="I29" t="s">
        <v>39</v>
      </c>
      <c r="J29" t="s">
        <v>40</v>
      </c>
      <c r="K29" s="1">
        <v>46318</v>
      </c>
      <c r="L29">
        <v>47</v>
      </c>
      <c r="M29" t="s">
        <v>74</v>
      </c>
      <c r="N29" s="1">
        <v>45802</v>
      </c>
      <c r="O29" s="1">
        <v>45810.994838831015</v>
      </c>
      <c r="P29" s="1">
        <v>45820.208349513887</v>
      </c>
      <c r="Q29" s="1">
        <v>45823.208729710648</v>
      </c>
      <c r="R29">
        <v>9</v>
      </c>
      <c r="S29">
        <v>9.1999999999999993</v>
      </c>
      <c r="T29">
        <v>3</v>
      </c>
      <c r="U29">
        <v>21.2</v>
      </c>
      <c r="V29">
        <v>14.7</v>
      </c>
      <c r="W29" t="s">
        <v>52</v>
      </c>
      <c r="X29" t="s">
        <v>40</v>
      </c>
      <c r="Y29" t="s">
        <v>40</v>
      </c>
      <c r="Z29" s="1"/>
      <c r="AB29">
        <v>1</v>
      </c>
      <c r="AC29">
        <v>0</v>
      </c>
      <c r="AD29">
        <v>1</v>
      </c>
      <c r="AE29">
        <v>0</v>
      </c>
      <c r="AF29" t="s">
        <v>53</v>
      </c>
      <c r="AG29">
        <v>4.4400000000000004</v>
      </c>
    </row>
    <row r="30" spans="1:33" x14ac:dyDescent="0.3">
      <c r="A30" t="s">
        <v>127</v>
      </c>
      <c r="B30" t="s">
        <v>266</v>
      </c>
      <c r="C30" t="s">
        <v>71</v>
      </c>
      <c r="D30" t="s">
        <v>48</v>
      </c>
      <c r="E30" t="s">
        <v>89</v>
      </c>
      <c r="F30">
        <v>38</v>
      </c>
      <c r="G30" t="s">
        <v>37</v>
      </c>
      <c r="H30" t="s">
        <v>51</v>
      </c>
      <c r="I30" t="s">
        <v>57</v>
      </c>
      <c r="J30" t="s">
        <v>40</v>
      </c>
      <c r="K30" s="1">
        <v>46351</v>
      </c>
      <c r="L30">
        <v>80</v>
      </c>
      <c r="M30" t="s">
        <v>74</v>
      </c>
      <c r="N30" s="1">
        <v>45903</v>
      </c>
      <c r="O30" s="1">
        <v>45907.207675347221</v>
      </c>
      <c r="P30" s="1">
        <v>45912.433452291669</v>
      </c>
      <c r="Q30" s="1">
        <v>45918.198578807867</v>
      </c>
      <c r="R30">
        <v>4.2</v>
      </c>
      <c r="S30">
        <v>5.2</v>
      </c>
      <c r="T30">
        <v>5.8</v>
      </c>
      <c r="U30">
        <v>15.2</v>
      </c>
      <c r="V30">
        <v>11.6</v>
      </c>
      <c r="W30" t="s">
        <v>42</v>
      </c>
      <c r="X30" t="s">
        <v>40</v>
      </c>
      <c r="Y30" t="s">
        <v>40</v>
      </c>
      <c r="Z30" s="1"/>
      <c r="AB30">
        <v>1</v>
      </c>
      <c r="AC30">
        <v>0</v>
      </c>
      <c r="AD30">
        <v>1</v>
      </c>
      <c r="AE30">
        <v>0</v>
      </c>
      <c r="AF30" t="s">
        <v>92</v>
      </c>
      <c r="AG30">
        <v>4.12</v>
      </c>
    </row>
    <row r="31" spans="1:33" x14ac:dyDescent="0.3">
      <c r="A31" t="s">
        <v>128</v>
      </c>
      <c r="B31" t="s">
        <v>267</v>
      </c>
      <c r="C31" t="s">
        <v>119</v>
      </c>
      <c r="D31" t="s">
        <v>35</v>
      </c>
      <c r="E31" t="s">
        <v>62</v>
      </c>
      <c r="F31">
        <v>59</v>
      </c>
      <c r="G31" t="s">
        <v>101</v>
      </c>
      <c r="H31" t="s">
        <v>51</v>
      </c>
      <c r="I31" t="s">
        <v>85</v>
      </c>
      <c r="J31" t="s">
        <v>40</v>
      </c>
      <c r="K31" s="1">
        <v>46610</v>
      </c>
      <c r="L31">
        <v>339</v>
      </c>
      <c r="M31" t="s">
        <v>41</v>
      </c>
      <c r="N31" s="1">
        <v>45956</v>
      </c>
      <c r="O31" s="1">
        <v>45960.532314328702</v>
      </c>
      <c r="P31" s="1">
        <v>45970.199939375001</v>
      </c>
      <c r="Q31" s="1">
        <v>45977.288766817132</v>
      </c>
      <c r="R31">
        <v>4.5</v>
      </c>
      <c r="S31">
        <v>9.6999999999999993</v>
      </c>
      <c r="T31">
        <v>7.1</v>
      </c>
      <c r="U31">
        <v>21.3</v>
      </c>
      <c r="V31">
        <v>9.6</v>
      </c>
      <c r="W31" t="s">
        <v>42</v>
      </c>
      <c r="X31" t="s">
        <v>40</v>
      </c>
      <c r="Y31" t="s">
        <v>43</v>
      </c>
      <c r="Z31" s="1" t="s">
        <v>44</v>
      </c>
      <c r="AA31">
        <v>46265</v>
      </c>
      <c r="AB31">
        <v>1</v>
      </c>
      <c r="AC31">
        <v>0</v>
      </c>
      <c r="AD31">
        <v>0</v>
      </c>
      <c r="AE31">
        <v>1</v>
      </c>
      <c r="AF31" t="s">
        <v>64</v>
      </c>
      <c r="AG31">
        <v>0.64</v>
      </c>
    </row>
    <row r="32" spans="1:33" x14ac:dyDescent="0.3">
      <c r="A32" t="s">
        <v>129</v>
      </c>
      <c r="B32" t="s">
        <v>268</v>
      </c>
      <c r="C32" t="s">
        <v>47</v>
      </c>
      <c r="D32" t="s">
        <v>48</v>
      </c>
      <c r="E32" t="s">
        <v>96</v>
      </c>
      <c r="F32">
        <v>33</v>
      </c>
      <c r="G32" t="s">
        <v>37</v>
      </c>
      <c r="H32" t="s">
        <v>51</v>
      </c>
      <c r="I32" t="s">
        <v>39</v>
      </c>
      <c r="J32" t="s">
        <v>40</v>
      </c>
      <c r="K32" s="1">
        <v>46306</v>
      </c>
      <c r="L32">
        <v>35</v>
      </c>
      <c r="M32" t="s">
        <v>41</v>
      </c>
      <c r="N32" s="1">
        <v>46149</v>
      </c>
      <c r="O32" s="1">
        <v>46158.855539872682</v>
      </c>
      <c r="P32" s="1">
        <v>46163.754688703702</v>
      </c>
      <c r="Q32" s="1">
        <v>46172.526005324071</v>
      </c>
      <c r="R32">
        <v>9.9</v>
      </c>
      <c r="S32">
        <v>4.9000000000000004</v>
      </c>
      <c r="T32">
        <v>8.8000000000000007</v>
      </c>
      <c r="U32">
        <v>23.5</v>
      </c>
      <c r="V32">
        <v>3.2</v>
      </c>
      <c r="W32" t="s">
        <v>75</v>
      </c>
      <c r="X32" t="s">
        <v>40</v>
      </c>
      <c r="Y32" t="s">
        <v>40</v>
      </c>
      <c r="Z32" s="1"/>
      <c r="AB32">
        <v>1</v>
      </c>
      <c r="AC32">
        <v>0</v>
      </c>
      <c r="AD32">
        <v>1</v>
      </c>
      <c r="AE32">
        <v>0</v>
      </c>
      <c r="AF32" t="s">
        <v>97</v>
      </c>
      <c r="AG32">
        <v>5.64</v>
      </c>
    </row>
    <row r="33" spans="1:33" x14ac:dyDescent="0.3">
      <c r="A33" t="s">
        <v>130</v>
      </c>
      <c r="B33" t="s">
        <v>269</v>
      </c>
      <c r="C33" t="s">
        <v>34</v>
      </c>
      <c r="D33" t="s">
        <v>35</v>
      </c>
      <c r="E33" t="s">
        <v>104</v>
      </c>
      <c r="F33">
        <v>56</v>
      </c>
      <c r="G33" t="s">
        <v>101</v>
      </c>
      <c r="H33" t="s">
        <v>38</v>
      </c>
      <c r="I33" t="s">
        <v>57</v>
      </c>
      <c r="J33" t="s">
        <v>40</v>
      </c>
      <c r="K33" s="1">
        <v>46291</v>
      </c>
      <c r="L33">
        <v>20</v>
      </c>
      <c r="M33" t="s">
        <v>58</v>
      </c>
      <c r="N33" s="1">
        <v>45756</v>
      </c>
      <c r="O33" s="1">
        <v>45762.154087303243</v>
      </c>
      <c r="P33" s="1">
        <v>45768.562044537037</v>
      </c>
      <c r="Q33" s="1">
        <v>45771.893145486109</v>
      </c>
      <c r="R33">
        <v>6.2</v>
      </c>
      <c r="S33">
        <v>6.4</v>
      </c>
      <c r="T33">
        <v>3.3</v>
      </c>
      <c r="U33">
        <v>15.9</v>
      </c>
      <c r="V33">
        <v>16.399999999999999</v>
      </c>
      <c r="W33" t="s">
        <v>52</v>
      </c>
      <c r="X33" t="s">
        <v>40</v>
      </c>
      <c r="Y33" t="s">
        <v>40</v>
      </c>
      <c r="Z33" s="1"/>
      <c r="AB33">
        <v>1</v>
      </c>
      <c r="AC33">
        <v>1</v>
      </c>
      <c r="AD33">
        <v>1</v>
      </c>
      <c r="AE33">
        <v>0</v>
      </c>
      <c r="AF33" t="s">
        <v>105</v>
      </c>
      <c r="AG33">
        <v>4.05</v>
      </c>
    </row>
    <row r="34" spans="1:33" x14ac:dyDescent="0.3">
      <c r="A34" t="s">
        <v>131</v>
      </c>
      <c r="B34" t="s">
        <v>270</v>
      </c>
      <c r="C34" t="s">
        <v>61</v>
      </c>
      <c r="D34" t="s">
        <v>35</v>
      </c>
      <c r="E34" t="s">
        <v>115</v>
      </c>
      <c r="F34">
        <v>63</v>
      </c>
      <c r="G34" t="s">
        <v>68</v>
      </c>
      <c r="H34" t="s">
        <v>38</v>
      </c>
      <c r="I34" t="s">
        <v>57</v>
      </c>
      <c r="J34" t="s">
        <v>40</v>
      </c>
      <c r="K34" s="1">
        <v>46329</v>
      </c>
      <c r="L34">
        <v>58</v>
      </c>
      <c r="M34" t="s">
        <v>41</v>
      </c>
      <c r="N34" s="1">
        <v>46053</v>
      </c>
      <c r="O34" s="1">
        <v>46056.103800555553</v>
      </c>
      <c r="P34" s="1">
        <v>46063.719206701389</v>
      </c>
      <c r="Q34" s="1">
        <v>46068.193600752318</v>
      </c>
      <c r="R34">
        <v>3.1</v>
      </c>
      <c r="S34">
        <v>7.6</v>
      </c>
      <c r="T34">
        <v>4.5</v>
      </c>
      <c r="U34">
        <v>15.2</v>
      </c>
      <c r="V34">
        <v>6.7</v>
      </c>
      <c r="W34" t="s">
        <v>42</v>
      </c>
      <c r="X34" t="s">
        <v>40</v>
      </c>
      <c r="Y34" t="s">
        <v>40</v>
      </c>
      <c r="Z34" s="1"/>
      <c r="AB34">
        <v>1</v>
      </c>
      <c r="AC34">
        <v>0</v>
      </c>
      <c r="AD34">
        <v>1</v>
      </c>
      <c r="AE34">
        <v>0</v>
      </c>
      <c r="AF34" t="s">
        <v>116</v>
      </c>
      <c r="AG34">
        <v>3.13</v>
      </c>
    </row>
    <row r="35" spans="1:33" x14ac:dyDescent="0.3">
      <c r="A35" t="s">
        <v>132</v>
      </c>
      <c r="B35" t="s">
        <v>271</v>
      </c>
      <c r="C35" t="s">
        <v>34</v>
      </c>
      <c r="D35" t="s">
        <v>35</v>
      </c>
      <c r="E35" t="s">
        <v>133</v>
      </c>
      <c r="F35">
        <v>33</v>
      </c>
      <c r="G35" t="s">
        <v>37</v>
      </c>
      <c r="H35" t="s">
        <v>38</v>
      </c>
      <c r="I35" t="s">
        <v>39</v>
      </c>
      <c r="J35" t="s">
        <v>40</v>
      </c>
      <c r="K35" s="1">
        <v>46807</v>
      </c>
      <c r="L35">
        <v>536</v>
      </c>
      <c r="M35" t="s">
        <v>58</v>
      </c>
      <c r="N35" s="1">
        <v>45769</v>
      </c>
      <c r="O35" s="1">
        <v>45775.184398611113</v>
      </c>
      <c r="P35" s="1">
        <v>45784.008697511577</v>
      </c>
      <c r="Q35" s="1">
        <v>45786.15873304398</v>
      </c>
      <c r="R35">
        <v>6.2</v>
      </c>
      <c r="S35">
        <v>8.8000000000000007</v>
      </c>
      <c r="T35">
        <v>2.2000000000000002</v>
      </c>
      <c r="U35">
        <v>17.2</v>
      </c>
      <c r="V35">
        <v>15.9</v>
      </c>
      <c r="W35" t="s">
        <v>52</v>
      </c>
      <c r="X35" t="s">
        <v>40</v>
      </c>
      <c r="Y35" t="s">
        <v>40</v>
      </c>
      <c r="Z35" s="1"/>
      <c r="AB35">
        <v>1</v>
      </c>
      <c r="AC35">
        <v>0</v>
      </c>
      <c r="AD35">
        <v>0</v>
      </c>
      <c r="AE35">
        <v>0</v>
      </c>
      <c r="AF35" t="s">
        <v>134</v>
      </c>
      <c r="AG35">
        <v>-2.87</v>
      </c>
    </row>
    <row r="36" spans="1:33" x14ac:dyDescent="0.3">
      <c r="A36" t="s">
        <v>135</v>
      </c>
      <c r="B36" t="s">
        <v>272</v>
      </c>
      <c r="C36" t="s">
        <v>34</v>
      </c>
      <c r="D36" t="s">
        <v>35</v>
      </c>
      <c r="E36" t="s">
        <v>49</v>
      </c>
      <c r="F36">
        <v>29</v>
      </c>
      <c r="G36" t="s">
        <v>56</v>
      </c>
      <c r="H36" t="s">
        <v>51</v>
      </c>
      <c r="I36" t="s">
        <v>39</v>
      </c>
      <c r="J36" t="s">
        <v>40</v>
      </c>
      <c r="K36" s="1">
        <v>46805</v>
      </c>
      <c r="L36">
        <v>534</v>
      </c>
      <c r="M36" t="s">
        <v>74</v>
      </c>
      <c r="N36" s="1">
        <v>46023</v>
      </c>
      <c r="O36" s="1">
        <v>46027.244229398151</v>
      </c>
      <c r="P36" s="1">
        <v>46036.856612013886</v>
      </c>
      <c r="Q36" s="1">
        <v>46043.416005150466</v>
      </c>
      <c r="R36">
        <v>4.2</v>
      </c>
      <c r="S36">
        <v>9.6</v>
      </c>
      <c r="T36">
        <v>6.6</v>
      </c>
      <c r="U36">
        <v>20.399999999999999</v>
      </c>
      <c r="V36">
        <v>7.5</v>
      </c>
      <c r="W36" t="s">
        <v>42</v>
      </c>
      <c r="X36" t="s">
        <v>40</v>
      </c>
      <c r="Y36" t="s">
        <v>40</v>
      </c>
      <c r="Z36" s="1"/>
      <c r="AB36">
        <v>1</v>
      </c>
      <c r="AC36">
        <v>0</v>
      </c>
      <c r="AD36">
        <v>0</v>
      </c>
      <c r="AE36">
        <v>0</v>
      </c>
      <c r="AF36" t="s">
        <v>53</v>
      </c>
      <c r="AG36">
        <v>3.63</v>
      </c>
    </row>
    <row r="37" spans="1:33" x14ac:dyDescent="0.3">
      <c r="A37" t="s">
        <v>136</v>
      </c>
      <c r="B37" t="s">
        <v>273</v>
      </c>
      <c r="C37" t="s">
        <v>78</v>
      </c>
      <c r="D37" t="s">
        <v>35</v>
      </c>
      <c r="E37" t="s">
        <v>104</v>
      </c>
      <c r="F37">
        <v>43</v>
      </c>
      <c r="G37" t="s">
        <v>50</v>
      </c>
      <c r="H37" t="s">
        <v>38</v>
      </c>
      <c r="I37" t="s">
        <v>109</v>
      </c>
      <c r="J37" t="s">
        <v>40</v>
      </c>
      <c r="K37" s="1">
        <v>46432</v>
      </c>
      <c r="L37">
        <v>161</v>
      </c>
      <c r="M37" t="s">
        <v>58</v>
      </c>
      <c r="N37" s="1">
        <v>45938</v>
      </c>
      <c r="O37" s="1">
        <v>45941.006987581015</v>
      </c>
      <c r="P37" s="1">
        <v>45951.24538375</v>
      </c>
      <c r="Q37" s="1">
        <v>45953.325501620369</v>
      </c>
      <c r="R37">
        <v>3</v>
      </c>
      <c r="S37">
        <v>10.199999999999999</v>
      </c>
      <c r="T37">
        <v>2.1</v>
      </c>
      <c r="U37">
        <v>15.3</v>
      </c>
      <c r="V37">
        <v>10.4</v>
      </c>
      <c r="W37" t="s">
        <v>42</v>
      </c>
      <c r="X37" t="s">
        <v>40</v>
      </c>
      <c r="Y37" t="s">
        <v>40</v>
      </c>
      <c r="Z37" s="1"/>
      <c r="AB37">
        <v>1</v>
      </c>
      <c r="AC37">
        <v>0</v>
      </c>
      <c r="AD37">
        <v>0</v>
      </c>
      <c r="AE37">
        <v>0</v>
      </c>
      <c r="AF37" t="s">
        <v>105</v>
      </c>
      <c r="AG37">
        <v>-1.94</v>
      </c>
    </row>
    <row r="38" spans="1:33" x14ac:dyDescent="0.3">
      <c r="A38" t="s">
        <v>137</v>
      </c>
      <c r="B38" t="s">
        <v>274</v>
      </c>
      <c r="C38" t="s">
        <v>66</v>
      </c>
      <c r="D38" t="s">
        <v>48</v>
      </c>
      <c r="E38" t="s">
        <v>36</v>
      </c>
      <c r="F38">
        <v>59</v>
      </c>
      <c r="G38" t="s">
        <v>101</v>
      </c>
      <c r="H38" t="s">
        <v>38</v>
      </c>
      <c r="I38" t="s">
        <v>57</v>
      </c>
      <c r="J38" t="s">
        <v>40</v>
      </c>
      <c r="K38" s="1">
        <v>46769</v>
      </c>
      <c r="L38">
        <v>498</v>
      </c>
      <c r="M38" t="s">
        <v>58</v>
      </c>
      <c r="N38" s="1">
        <v>45847</v>
      </c>
      <c r="O38" s="1">
        <v>45854.13685195602</v>
      </c>
      <c r="P38" s="1">
        <v>45862.274145254632</v>
      </c>
      <c r="Q38" s="1">
        <v>45864.529537499999</v>
      </c>
      <c r="R38">
        <v>7.1</v>
      </c>
      <c r="S38">
        <v>8.1</v>
      </c>
      <c r="T38">
        <v>2.2999999999999998</v>
      </c>
      <c r="U38">
        <v>17.5</v>
      </c>
      <c r="V38">
        <v>13.4</v>
      </c>
      <c r="W38" t="s">
        <v>52</v>
      </c>
      <c r="X38" t="s">
        <v>40</v>
      </c>
      <c r="Y38" t="s">
        <v>40</v>
      </c>
      <c r="Z38" s="1"/>
      <c r="AB38">
        <v>1</v>
      </c>
      <c r="AC38">
        <v>0</v>
      </c>
      <c r="AD38">
        <v>0</v>
      </c>
      <c r="AE38">
        <v>0</v>
      </c>
      <c r="AF38" t="s">
        <v>45</v>
      </c>
      <c r="AG38">
        <v>-3.85</v>
      </c>
    </row>
    <row r="39" spans="1:33" x14ac:dyDescent="0.3">
      <c r="A39" t="s">
        <v>138</v>
      </c>
      <c r="B39" t="s">
        <v>275</v>
      </c>
      <c r="C39" t="s">
        <v>47</v>
      </c>
      <c r="D39" t="s">
        <v>48</v>
      </c>
      <c r="E39" t="s">
        <v>36</v>
      </c>
      <c r="F39">
        <v>53</v>
      </c>
      <c r="G39" t="s">
        <v>101</v>
      </c>
      <c r="H39" t="s">
        <v>38</v>
      </c>
      <c r="I39" t="s">
        <v>57</v>
      </c>
      <c r="J39" t="s">
        <v>40</v>
      </c>
      <c r="K39" s="1">
        <v>46342</v>
      </c>
      <c r="L39">
        <v>71</v>
      </c>
      <c r="M39" t="s">
        <v>58</v>
      </c>
      <c r="N39" s="1">
        <v>46034</v>
      </c>
      <c r="O39" s="1">
        <v>46038.591463090277</v>
      </c>
      <c r="P39" s="1">
        <v>46042.245922453701</v>
      </c>
      <c r="Q39" s="1">
        <v>46045.455902557871</v>
      </c>
      <c r="R39">
        <v>4.5999999999999996</v>
      </c>
      <c r="S39">
        <v>3.7</v>
      </c>
      <c r="T39">
        <v>3.2</v>
      </c>
      <c r="U39">
        <v>11.5</v>
      </c>
      <c r="V39">
        <v>7.4</v>
      </c>
      <c r="W39" t="s">
        <v>42</v>
      </c>
      <c r="X39" t="s">
        <v>40</v>
      </c>
      <c r="Y39" t="s">
        <v>40</v>
      </c>
      <c r="Z39" s="1"/>
      <c r="AB39">
        <v>1</v>
      </c>
      <c r="AC39">
        <v>0</v>
      </c>
      <c r="AD39">
        <v>1</v>
      </c>
      <c r="AE39">
        <v>0</v>
      </c>
      <c r="AF39" t="s">
        <v>45</v>
      </c>
      <c r="AG39">
        <v>2.66</v>
      </c>
    </row>
    <row r="40" spans="1:33" x14ac:dyDescent="0.3">
      <c r="A40" t="s">
        <v>139</v>
      </c>
      <c r="B40" t="s">
        <v>276</v>
      </c>
      <c r="C40" t="s">
        <v>78</v>
      </c>
      <c r="D40" t="s">
        <v>35</v>
      </c>
      <c r="E40" t="s">
        <v>49</v>
      </c>
      <c r="F40">
        <v>32</v>
      </c>
      <c r="G40" t="s">
        <v>37</v>
      </c>
      <c r="H40" t="s">
        <v>51</v>
      </c>
      <c r="I40" t="s">
        <v>39</v>
      </c>
      <c r="J40" t="s">
        <v>40</v>
      </c>
      <c r="K40" s="1">
        <v>46518</v>
      </c>
      <c r="L40">
        <v>247</v>
      </c>
      <c r="M40" t="s">
        <v>58</v>
      </c>
      <c r="N40" s="1">
        <v>46062</v>
      </c>
      <c r="O40" s="1">
        <v>46070.29264861111</v>
      </c>
      <c r="P40" s="1">
        <v>46076.632087997685</v>
      </c>
      <c r="Q40" s="1">
        <v>46077.989916851853</v>
      </c>
      <c r="R40">
        <v>8.3000000000000007</v>
      </c>
      <c r="S40">
        <v>6.3</v>
      </c>
      <c r="T40">
        <v>1.4</v>
      </c>
      <c r="U40">
        <v>16</v>
      </c>
      <c r="V40">
        <v>6.3</v>
      </c>
      <c r="W40" t="s">
        <v>42</v>
      </c>
      <c r="X40" t="s">
        <v>40</v>
      </c>
      <c r="Y40" t="s">
        <v>40</v>
      </c>
      <c r="Z40" s="1"/>
      <c r="AB40">
        <v>1</v>
      </c>
      <c r="AC40">
        <v>0</v>
      </c>
      <c r="AD40">
        <v>0</v>
      </c>
      <c r="AE40">
        <v>0</v>
      </c>
      <c r="AF40" t="s">
        <v>53</v>
      </c>
      <c r="AG40">
        <v>-5.97</v>
      </c>
    </row>
    <row r="41" spans="1:33" x14ac:dyDescent="0.3">
      <c r="A41" t="s">
        <v>140</v>
      </c>
      <c r="B41" t="s">
        <v>277</v>
      </c>
      <c r="C41" t="s">
        <v>66</v>
      </c>
      <c r="D41" t="s">
        <v>48</v>
      </c>
      <c r="E41" t="s">
        <v>104</v>
      </c>
      <c r="F41">
        <v>49</v>
      </c>
      <c r="G41" t="s">
        <v>50</v>
      </c>
      <c r="H41" t="s">
        <v>38</v>
      </c>
      <c r="I41" t="s">
        <v>109</v>
      </c>
      <c r="J41" t="s">
        <v>40</v>
      </c>
      <c r="K41" s="1">
        <v>46340</v>
      </c>
      <c r="L41">
        <v>69</v>
      </c>
      <c r="M41" t="s">
        <v>74</v>
      </c>
      <c r="N41" s="1">
        <v>45921</v>
      </c>
      <c r="O41" s="1">
        <v>45923.629459710646</v>
      </c>
      <c r="P41" s="1">
        <v>45927.873080254627</v>
      </c>
      <c r="Q41" s="1">
        <v>45929.383556666668</v>
      </c>
      <c r="R41">
        <v>2.6</v>
      </c>
      <c r="S41">
        <v>4.2</v>
      </c>
      <c r="T41">
        <v>1.5</v>
      </c>
      <c r="U41">
        <v>8.4</v>
      </c>
      <c r="V41">
        <v>11.2</v>
      </c>
      <c r="W41" t="s">
        <v>42</v>
      </c>
      <c r="X41" t="s">
        <v>40</v>
      </c>
      <c r="Y41" t="s">
        <v>40</v>
      </c>
      <c r="Z41" s="1"/>
      <c r="AB41">
        <v>1</v>
      </c>
      <c r="AC41">
        <v>0</v>
      </c>
      <c r="AD41">
        <v>1</v>
      </c>
      <c r="AE41">
        <v>0</v>
      </c>
      <c r="AF41" t="s">
        <v>105</v>
      </c>
      <c r="AG41">
        <v>0.1</v>
      </c>
    </row>
    <row r="42" spans="1:33" x14ac:dyDescent="0.3">
      <c r="A42" t="s">
        <v>141</v>
      </c>
      <c r="B42" t="s">
        <v>278</v>
      </c>
      <c r="C42" t="s">
        <v>99</v>
      </c>
      <c r="D42" t="s">
        <v>48</v>
      </c>
      <c r="E42" t="s">
        <v>142</v>
      </c>
      <c r="F42">
        <v>51</v>
      </c>
      <c r="G42" t="s">
        <v>101</v>
      </c>
      <c r="H42" t="s">
        <v>38</v>
      </c>
      <c r="I42" t="s">
        <v>57</v>
      </c>
      <c r="J42" t="s">
        <v>40</v>
      </c>
      <c r="K42" s="1">
        <v>46342</v>
      </c>
      <c r="L42">
        <v>71</v>
      </c>
      <c r="M42" t="s">
        <v>74</v>
      </c>
      <c r="N42" s="1">
        <v>45766</v>
      </c>
      <c r="O42" s="1">
        <v>45772.491372083336</v>
      </c>
      <c r="P42" s="1">
        <v>45775.783312928237</v>
      </c>
      <c r="Q42" s="1">
        <v>45778.444097858795</v>
      </c>
      <c r="R42">
        <v>6.5</v>
      </c>
      <c r="S42">
        <v>3.3</v>
      </c>
      <c r="T42">
        <v>2.7</v>
      </c>
      <c r="U42">
        <v>12.4</v>
      </c>
      <c r="V42">
        <v>16.2</v>
      </c>
      <c r="W42" t="s">
        <v>52</v>
      </c>
      <c r="X42" t="s">
        <v>40</v>
      </c>
      <c r="Y42" t="s">
        <v>40</v>
      </c>
      <c r="Z42" s="1"/>
      <c r="AB42">
        <v>1</v>
      </c>
      <c r="AC42">
        <v>0</v>
      </c>
      <c r="AD42">
        <v>1</v>
      </c>
      <c r="AE42">
        <v>0</v>
      </c>
      <c r="AF42" t="s">
        <v>143</v>
      </c>
      <c r="AG42">
        <v>1.62</v>
      </c>
    </row>
    <row r="43" spans="1:33" x14ac:dyDescent="0.3">
      <c r="A43" t="s">
        <v>144</v>
      </c>
      <c r="B43" t="s">
        <v>279</v>
      </c>
      <c r="C43" t="s">
        <v>66</v>
      </c>
      <c r="D43" t="s">
        <v>48</v>
      </c>
      <c r="E43" t="s">
        <v>145</v>
      </c>
      <c r="F43">
        <v>30</v>
      </c>
      <c r="G43" t="s">
        <v>37</v>
      </c>
      <c r="H43" t="s">
        <v>51</v>
      </c>
      <c r="I43" t="s">
        <v>57</v>
      </c>
      <c r="J43" t="s">
        <v>43</v>
      </c>
      <c r="K43" s="1">
        <v>46268</v>
      </c>
      <c r="L43">
        <v>-3</v>
      </c>
      <c r="M43" t="s">
        <v>41</v>
      </c>
      <c r="N43" s="1">
        <v>45945</v>
      </c>
      <c r="O43" s="1">
        <v>45949.801124722224</v>
      </c>
      <c r="P43" s="1">
        <v>45956.782827071758</v>
      </c>
      <c r="Q43" s="1">
        <v>45959.519096956021</v>
      </c>
      <c r="R43">
        <v>4.8</v>
      </c>
      <c r="S43">
        <v>7</v>
      </c>
      <c r="T43">
        <v>2.7</v>
      </c>
      <c r="U43">
        <v>14.5</v>
      </c>
      <c r="V43">
        <v>10.199999999999999</v>
      </c>
      <c r="W43" t="s">
        <v>42</v>
      </c>
      <c r="X43" t="s">
        <v>146</v>
      </c>
      <c r="Y43" t="s">
        <v>146</v>
      </c>
      <c r="Z43" s="1"/>
      <c r="AB43">
        <v>0</v>
      </c>
      <c r="AC43">
        <v>1</v>
      </c>
      <c r="AD43">
        <v>1</v>
      </c>
      <c r="AE43">
        <v>0</v>
      </c>
      <c r="AF43" t="s">
        <v>147</v>
      </c>
      <c r="AG43">
        <v>4.4400000000000004</v>
      </c>
    </row>
    <row r="44" spans="1:33" x14ac:dyDescent="0.3">
      <c r="A44" t="s">
        <v>148</v>
      </c>
      <c r="B44" t="s">
        <v>280</v>
      </c>
      <c r="C44" t="s">
        <v>78</v>
      </c>
      <c r="D44" t="s">
        <v>35</v>
      </c>
      <c r="E44" t="s">
        <v>120</v>
      </c>
      <c r="F44">
        <v>60</v>
      </c>
      <c r="G44" t="s">
        <v>68</v>
      </c>
      <c r="H44" t="s">
        <v>51</v>
      </c>
      <c r="I44" t="s">
        <v>73</v>
      </c>
      <c r="J44" t="s">
        <v>40</v>
      </c>
      <c r="K44" s="1">
        <v>46636</v>
      </c>
      <c r="L44">
        <v>365</v>
      </c>
      <c r="M44" t="s">
        <v>58</v>
      </c>
      <c r="N44" s="1">
        <v>46141</v>
      </c>
      <c r="O44" s="1">
        <v>46150.526450254627</v>
      </c>
      <c r="P44" s="1">
        <v>46154.264091134261</v>
      </c>
      <c r="Q44" s="1">
        <v>46159.174864756947</v>
      </c>
      <c r="R44">
        <v>9.5</v>
      </c>
      <c r="S44">
        <v>3.7</v>
      </c>
      <c r="T44">
        <v>4.9000000000000004</v>
      </c>
      <c r="U44">
        <v>18.2</v>
      </c>
      <c r="V44">
        <v>3.7</v>
      </c>
      <c r="W44" t="s">
        <v>75</v>
      </c>
      <c r="X44" t="s">
        <v>40</v>
      </c>
      <c r="Y44" t="s">
        <v>40</v>
      </c>
      <c r="Z44" s="1"/>
      <c r="AB44">
        <v>1</v>
      </c>
      <c r="AC44">
        <v>0</v>
      </c>
      <c r="AD44">
        <v>0</v>
      </c>
      <c r="AE44">
        <v>0</v>
      </c>
      <c r="AF44" t="s">
        <v>121</v>
      </c>
      <c r="AG44">
        <v>0.1</v>
      </c>
    </row>
    <row r="45" spans="1:33" x14ac:dyDescent="0.3">
      <c r="A45" t="s">
        <v>149</v>
      </c>
      <c r="B45" t="s">
        <v>281</v>
      </c>
      <c r="C45" t="s">
        <v>61</v>
      </c>
      <c r="D45" t="s">
        <v>35</v>
      </c>
      <c r="E45" t="s">
        <v>150</v>
      </c>
      <c r="F45">
        <v>56</v>
      </c>
      <c r="G45" t="s">
        <v>101</v>
      </c>
      <c r="H45" t="s">
        <v>51</v>
      </c>
      <c r="I45" t="s">
        <v>73</v>
      </c>
      <c r="J45" t="s">
        <v>40</v>
      </c>
      <c r="K45" s="1">
        <v>46278</v>
      </c>
      <c r="L45">
        <v>7</v>
      </c>
      <c r="M45" t="s">
        <v>58</v>
      </c>
      <c r="N45" s="1">
        <v>45831</v>
      </c>
      <c r="O45" s="1">
        <v>45839.375637430552</v>
      </c>
      <c r="P45" s="1">
        <v>45849.604084328705</v>
      </c>
      <c r="Q45" s="1">
        <v>45855.494928449072</v>
      </c>
      <c r="R45">
        <v>8.4</v>
      </c>
      <c r="S45">
        <v>10.199999999999999</v>
      </c>
      <c r="T45">
        <v>5.9</v>
      </c>
      <c r="U45">
        <v>24.5</v>
      </c>
      <c r="V45">
        <v>13.7</v>
      </c>
      <c r="W45" t="s">
        <v>52</v>
      </c>
      <c r="X45" t="s">
        <v>40</v>
      </c>
      <c r="Y45" t="s">
        <v>40</v>
      </c>
      <c r="Z45" s="1"/>
      <c r="AB45">
        <v>1</v>
      </c>
      <c r="AC45">
        <v>1</v>
      </c>
      <c r="AD45">
        <v>1</v>
      </c>
      <c r="AE45">
        <v>0</v>
      </c>
      <c r="AF45" t="s">
        <v>151</v>
      </c>
      <c r="AG45">
        <v>-4.4000000000000004</v>
      </c>
    </row>
    <row r="46" spans="1:33" x14ac:dyDescent="0.3">
      <c r="A46" t="s">
        <v>152</v>
      </c>
      <c r="B46" t="s">
        <v>282</v>
      </c>
      <c r="C46" t="s">
        <v>71</v>
      </c>
      <c r="D46" t="s">
        <v>48</v>
      </c>
      <c r="E46" t="s">
        <v>115</v>
      </c>
      <c r="F46">
        <v>49</v>
      </c>
      <c r="G46" t="s">
        <v>50</v>
      </c>
      <c r="H46" t="s">
        <v>51</v>
      </c>
      <c r="I46" t="s">
        <v>73</v>
      </c>
      <c r="J46" t="s">
        <v>40</v>
      </c>
      <c r="K46" s="1">
        <v>46707</v>
      </c>
      <c r="L46">
        <v>436</v>
      </c>
      <c r="M46" t="s">
        <v>41</v>
      </c>
      <c r="N46" s="1">
        <v>45921</v>
      </c>
      <c r="O46" s="1">
        <v>45924.277240509262</v>
      </c>
      <c r="P46" s="1">
        <v>45928.016186250003</v>
      </c>
      <c r="Q46" s="1">
        <v>45933.304991087964</v>
      </c>
      <c r="R46">
        <v>3.3</v>
      </c>
      <c r="S46">
        <v>3.7</v>
      </c>
      <c r="T46">
        <v>5.3</v>
      </c>
      <c r="U46">
        <v>12.3</v>
      </c>
      <c r="V46">
        <v>11.1</v>
      </c>
      <c r="W46" t="s">
        <v>42</v>
      </c>
      <c r="X46" t="s">
        <v>40</v>
      </c>
      <c r="Y46" t="s">
        <v>40</v>
      </c>
      <c r="Z46" s="1"/>
      <c r="AB46">
        <v>1</v>
      </c>
      <c r="AC46">
        <v>0</v>
      </c>
      <c r="AD46">
        <v>0</v>
      </c>
      <c r="AE46">
        <v>0</v>
      </c>
      <c r="AF46" t="s">
        <v>116</v>
      </c>
      <c r="AG46">
        <v>-1.73</v>
      </c>
    </row>
    <row r="47" spans="1:33" x14ac:dyDescent="0.3">
      <c r="A47" t="s">
        <v>153</v>
      </c>
      <c r="B47" t="s">
        <v>283</v>
      </c>
      <c r="C47" t="s">
        <v>119</v>
      </c>
      <c r="D47" t="s">
        <v>35</v>
      </c>
      <c r="E47" t="s">
        <v>104</v>
      </c>
      <c r="F47">
        <v>31</v>
      </c>
      <c r="G47" t="s">
        <v>37</v>
      </c>
      <c r="H47" t="s">
        <v>51</v>
      </c>
      <c r="I47" t="s">
        <v>57</v>
      </c>
      <c r="J47" t="s">
        <v>40</v>
      </c>
      <c r="K47" s="1">
        <v>46669</v>
      </c>
      <c r="L47">
        <v>398</v>
      </c>
      <c r="M47" t="s">
        <v>58</v>
      </c>
      <c r="N47" s="1">
        <v>45969</v>
      </c>
      <c r="O47" s="1">
        <v>45971.278673692126</v>
      </c>
      <c r="P47" s="1">
        <v>45980.674037523146</v>
      </c>
      <c r="Q47" s="1">
        <v>45987.992337847223</v>
      </c>
      <c r="R47">
        <v>2.2999999999999998</v>
      </c>
      <c r="S47">
        <v>9.4</v>
      </c>
      <c r="T47">
        <v>7.3</v>
      </c>
      <c r="U47">
        <v>19</v>
      </c>
      <c r="V47">
        <v>9.3000000000000007</v>
      </c>
      <c r="W47" t="s">
        <v>42</v>
      </c>
      <c r="X47" t="s">
        <v>40</v>
      </c>
      <c r="Y47" t="s">
        <v>40</v>
      </c>
      <c r="Z47" s="1"/>
      <c r="AB47">
        <v>1</v>
      </c>
      <c r="AC47">
        <v>0</v>
      </c>
      <c r="AD47">
        <v>0</v>
      </c>
      <c r="AE47">
        <v>0</v>
      </c>
      <c r="AF47" t="s">
        <v>105</v>
      </c>
      <c r="AG47">
        <v>0.54</v>
      </c>
    </row>
    <row r="48" spans="1:33" x14ac:dyDescent="0.3">
      <c r="A48" t="s">
        <v>154</v>
      </c>
      <c r="B48" t="s">
        <v>284</v>
      </c>
      <c r="C48" t="s">
        <v>66</v>
      </c>
      <c r="D48" t="s">
        <v>48</v>
      </c>
      <c r="E48" t="s">
        <v>120</v>
      </c>
      <c r="F48">
        <v>37</v>
      </c>
      <c r="G48" t="s">
        <v>37</v>
      </c>
      <c r="H48" t="s">
        <v>51</v>
      </c>
      <c r="I48" t="s">
        <v>109</v>
      </c>
      <c r="J48" t="s">
        <v>40</v>
      </c>
      <c r="K48" s="1">
        <v>46686</v>
      </c>
      <c r="L48">
        <v>415</v>
      </c>
      <c r="M48" t="s">
        <v>41</v>
      </c>
      <c r="N48" s="1">
        <v>45920</v>
      </c>
      <c r="O48" s="1">
        <v>45925.646526099539</v>
      </c>
      <c r="P48" s="1">
        <v>45933.036603854169</v>
      </c>
      <c r="Q48" s="1">
        <v>45938.866265555553</v>
      </c>
      <c r="R48">
        <v>5.6</v>
      </c>
      <c r="S48">
        <v>7.4</v>
      </c>
      <c r="T48">
        <v>5.8</v>
      </c>
      <c r="U48">
        <v>18.899999999999999</v>
      </c>
      <c r="V48">
        <v>10.9</v>
      </c>
      <c r="W48" t="s">
        <v>42</v>
      </c>
      <c r="X48" t="s">
        <v>155</v>
      </c>
      <c r="Y48" t="s">
        <v>156</v>
      </c>
      <c r="Z48" s="1" t="s">
        <v>157</v>
      </c>
      <c r="AA48">
        <v>46249</v>
      </c>
      <c r="AB48">
        <v>1</v>
      </c>
      <c r="AC48">
        <v>0</v>
      </c>
      <c r="AD48">
        <v>0</v>
      </c>
      <c r="AE48">
        <v>1</v>
      </c>
      <c r="AF48" t="s">
        <v>121</v>
      </c>
      <c r="AG48">
        <v>-4.1100000000000003</v>
      </c>
    </row>
    <row r="49" spans="1:33" x14ac:dyDescent="0.3">
      <c r="A49" t="s">
        <v>158</v>
      </c>
      <c r="B49" t="s">
        <v>285</v>
      </c>
      <c r="C49" t="s">
        <v>34</v>
      </c>
      <c r="D49" t="s">
        <v>35</v>
      </c>
      <c r="E49" t="s">
        <v>133</v>
      </c>
      <c r="F49">
        <v>25</v>
      </c>
      <c r="G49" t="s">
        <v>56</v>
      </c>
      <c r="H49" t="s">
        <v>51</v>
      </c>
      <c r="I49" t="s">
        <v>57</v>
      </c>
      <c r="J49" t="s">
        <v>40</v>
      </c>
      <c r="K49" s="1">
        <v>46283</v>
      </c>
      <c r="L49">
        <v>12</v>
      </c>
      <c r="M49" t="s">
        <v>58</v>
      </c>
      <c r="N49" s="1">
        <v>45896</v>
      </c>
      <c r="O49" s="1">
        <v>45899.69592046296</v>
      </c>
      <c r="P49" s="1">
        <v>45906.654122337961</v>
      </c>
      <c r="Q49" s="1">
        <v>45913.547883495368</v>
      </c>
      <c r="R49">
        <v>3.7</v>
      </c>
      <c r="S49">
        <v>7</v>
      </c>
      <c r="T49">
        <v>6.9</v>
      </c>
      <c r="U49">
        <v>17.5</v>
      </c>
      <c r="V49">
        <v>11.7</v>
      </c>
      <c r="W49" t="s">
        <v>42</v>
      </c>
      <c r="X49" t="s">
        <v>40</v>
      </c>
      <c r="Y49" t="s">
        <v>43</v>
      </c>
      <c r="Z49" s="1" t="s">
        <v>44</v>
      </c>
      <c r="AA49">
        <v>46251</v>
      </c>
      <c r="AB49">
        <v>1</v>
      </c>
      <c r="AC49">
        <v>1</v>
      </c>
      <c r="AD49">
        <v>1</v>
      </c>
      <c r="AE49">
        <v>1</v>
      </c>
      <c r="AF49" t="s">
        <v>134</v>
      </c>
      <c r="AG49">
        <v>1.19</v>
      </c>
    </row>
    <row r="50" spans="1:33" x14ac:dyDescent="0.3">
      <c r="A50" t="s">
        <v>159</v>
      </c>
      <c r="B50" t="s">
        <v>286</v>
      </c>
      <c r="C50" t="s">
        <v>78</v>
      </c>
      <c r="D50" t="s">
        <v>35</v>
      </c>
      <c r="E50" t="s">
        <v>142</v>
      </c>
      <c r="F50">
        <v>28</v>
      </c>
      <c r="G50" t="s">
        <v>56</v>
      </c>
      <c r="H50" t="s">
        <v>38</v>
      </c>
      <c r="I50" t="s">
        <v>39</v>
      </c>
      <c r="J50" t="s">
        <v>40</v>
      </c>
      <c r="K50" s="1">
        <v>46777</v>
      </c>
      <c r="L50">
        <v>506</v>
      </c>
      <c r="M50" t="s">
        <v>58</v>
      </c>
      <c r="N50" s="1">
        <v>46049</v>
      </c>
      <c r="O50" s="1">
        <v>46055.149711446757</v>
      </c>
      <c r="P50" s="1">
        <v>46061.503463067129</v>
      </c>
      <c r="Q50" s="1">
        <v>46067.579517951388</v>
      </c>
      <c r="R50">
        <v>6.1</v>
      </c>
      <c r="S50">
        <v>6.4</v>
      </c>
      <c r="T50">
        <v>6.1</v>
      </c>
      <c r="U50">
        <v>18.600000000000001</v>
      </c>
      <c r="V50">
        <v>6.7</v>
      </c>
      <c r="W50" t="s">
        <v>42</v>
      </c>
      <c r="X50" t="s">
        <v>40</v>
      </c>
      <c r="Y50" t="s">
        <v>86</v>
      </c>
      <c r="Z50" s="1" t="s">
        <v>87</v>
      </c>
      <c r="AA50">
        <v>46252</v>
      </c>
      <c r="AB50">
        <v>1</v>
      </c>
      <c r="AC50">
        <v>0</v>
      </c>
      <c r="AD50">
        <v>0</v>
      </c>
      <c r="AE50">
        <v>1</v>
      </c>
      <c r="AF50" t="s">
        <v>143</v>
      </c>
      <c r="AG50">
        <v>3.67</v>
      </c>
    </row>
    <row r="51" spans="1:33" x14ac:dyDescent="0.3">
      <c r="A51" t="s">
        <v>160</v>
      </c>
      <c r="B51" t="s">
        <v>287</v>
      </c>
      <c r="C51" t="s">
        <v>119</v>
      </c>
      <c r="D51" t="s">
        <v>35</v>
      </c>
      <c r="E51" t="s">
        <v>49</v>
      </c>
      <c r="F51">
        <v>61</v>
      </c>
      <c r="G51" t="s">
        <v>68</v>
      </c>
      <c r="H51" t="s">
        <v>51</v>
      </c>
      <c r="I51" t="s">
        <v>39</v>
      </c>
      <c r="J51" t="s">
        <v>40</v>
      </c>
      <c r="K51" s="1">
        <v>46490</v>
      </c>
      <c r="L51">
        <v>219</v>
      </c>
      <c r="M51" t="s">
        <v>41</v>
      </c>
      <c r="N51" s="1">
        <v>45782</v>
      </c>
      <c r="O51" s="1">
        <v>45784.342981689813</v>
      </c>
      <c r="P51" s="1">
        <v>45790.189148900463</v>
      </c>
      <c r="Q51" s="1">
        <v>45798.290034201389</v>
      </c>
      <c r="R51">
        <v>2.2999999999999998</v>
      </c>
      <c r="S51">
        <v>5.8</v>
      </c>
      <c r="T51">
        <v>8.1</v>
      </c>
      <c r="U51">
        <v>16.3</v>
      </c>
      <c r="V51">
        <v>15.5</v>
      </c>
      <c r="W51" t="s">
        <v>52</v>
      </c>
      <c r="X51" t="s">
        <v>40</v>
      </c>
      <c r="Y51" t="s">
        <v>40</v>
      </c>
      <c r="Z51" s="1"/>
      <c r="AB51">
        <v>1</v>
      </c>
      <c r="AC51">
        <v>0</v>
      </c>
      <c r="AD51">
        <v>0</v>
      </c>
      <c r="AE51">
        <v>0</v>
      </c>
      <c r="AF51" t="s">
        <v>53</v>
      </c>
      <c r="AG51">
        <v>1.33</v>
      </c>
    </row>
    <row r="52" spans="1:33" x14ac:dyDescent="0.3">
      <c r="A52" t="s">
        <v>161</v>
      </c>
      <c r="B52" t="s">
        <v>288</v>
      </c>
      <c r="C52" t="s">
        <v>47</v>
      </c>
      <c r="D52" t="s">
        <v>48</v>
      </c>
      <c r="E52" t="s">
        <v>67</v>
      </c>
      <c r="F52">
        <v>36</v>
      </c>
      <c r="G52" t="s">
        <v>37</v>
      </c>
      <c r="H52" t="s">
        <v>51</v>
      </c>
      <c r="I52" t="s">
        <v>39</v>
      </c>
      <c r="J52" t="s">
        <v>40</v>
      </c>
      <c r="K52" s="1">
        <v>46755</v>
      </c>
      <c r="L52">
        <v>484</v>
      </c>
      <c r="M52" t="s">
        <v>58</v>
      </c>
      <c r="N52" s="1">
        <v>46114</v>
      </c>
      <c r="O52" s="1">
        <v>46116.043029004628</v>
      </c>
      <c r="P52" s="1">
        <v>46123.826928379633</v>
      </c>
      <c r="Q52" s="1">
        <v>46125.181892534725</v>
      </c>
      <c r="R52">
        <v>2</v>
      </c>
      <c r="S52">
        <v>7.8</v>
      </c>
      <c r="T52">
        <v>1.4</v>
      </c>
      <c r="U52">
        <v>11.2</v>
      </c>
      <c r="V52">
        <v>4.8</v>
      </c>
      <c r="W52" t="s">
        <v>75</v>
      </c>
      <c r="X52" t="s">
        <v>40</v>
      </c>
      <c r="Y52" t="s">
        <v>40</v>
      </c>
      <c r="Z52" s="1"/>
      <c r="AB52">
        <v>1</v>
      </c>
      <c r="AC52">
        <v>0</v>
      </c>
      <c r="AD52">
        <v>0</v>
      </c>
      <c r="AE52">
        <v>0</v>
      </c>
      <c r="AF52" t="s">
        <v>69</v>
      </c>
      <c r="AG52">
        <v>4.17</v>
      </c>
    </row>
    <row r="53" spans="1:33" x14ac:dyDescent="0.3">
      <c r="A53" t="s">
        <v>162</v>
      </c>
      <c r="B53" t="s">
        <v>289</v>
      </c>
      <c r="C53" t="s">
        <v>99</v>
      </c>
      <c r="D53" t="s">
        <v>48</v>
      </c>
      <c r="E53" t="s">
        <v>82</v>
      </c>
      <c r="F53">
        <v>40</v>
      </c>
      <c r="G53" t="s">
        <v>50</v>
      </c>
      <c r="H53" t="s">
        <v>38</v>
      </c>
      <c r="I53" t="s">
        <v>39</v>
      </c>
      <c r="J53" t="s">
        <v>40</v>
      </c>
      <c r="K53" s="1">
        <v>46281</v>
      </c>
      <c r="L53">
        <v>10</v>
      </c>
      <c r="M53" t="s">
        <v>58</v>
      </c>
      <c r="N53" s="1">
        <v>46103</v>
      </c>
      <c r="O53" s="1">
        <v>46112.16415449074</v>
      </c>
      <c r="P53" s="1">
        <v>46122.497403946756</v>
      </c>
      <c r="Q53" s="1">
        <v>46128.981445173609</v>
      </c>
      <c r="R53">
        <v>9.1999999999999993</v>
      </c>
      <c r="S53">
        <v>10.3</v>
      </c>
      <c r="T53">
        <v>6.5</v>
      </c>
      <c r="U53">
        <v>26</v>
      </c>
      <c r="V53">
        <v>4.7</v>
      </c>
      <c r="W53" t="s">
        <v>75</v>
      </c>
      <c r="X53" t="s">
        <v>40</v>
      </c>
      <c r="Y53" t="s">
        <v>40</v>
      </c>
      <c r="Z53" s="1"/>
      <c r="AB53">
        <v>1</v>
      </c>
      <c r="AC53">
        <v>1</v>
      </c>
      <c r="AD53">
        <v>1</v>
      </c>
      <c r="AE53">
        <v>0</v>
      </c>
      <c r="AF53" t="s">
        <v>83</v>
      </c>
      <c r="AG53">
        <v>1.54</v>
      </c>
    </row>
    <row r="54" spans="1:33" x14ac:dyDescent="0.3">
      <c r="A54" t="s">
        <v>163</v>
      </c>
      <c r="B54" t="s">
        <v>290</v>
      </c>
      <c r="C54" t="s">
        <v>71</v>
      </c>
      <c r="D54" t="s">
        <v>48</v>
      </c>
      <c r="E54" t="s">
        <v>104</v>
      </c>
      <c r="F54">
        <v>27</v>
      </c>
      <c r="G54" t="s">
        <v>56</v>
      </c>
      <c r="H54" t="s">
        <v>51</v>
      </c>
      <c r="I54" t="s">
        <v>39</v>
      </c>
      <c r="J54" t="s">
        <v>40</v>
      </c>
      <c r="K54" s="1">
        <v>46360</v>
      </c>
      <c r="L54">
        <v>89</v>
      </c>
      <c r="M54" t="s">
        <v>74</v>
      </c>
      <c r="N54" s="1">
        <v>45764</v>
      </c>
      <c r="O54" s="1">
        <v>45772.474214282411</v>
      </c>
      <c r="P54" s="1">
        <v>45782.521372442126</v>
      </c>
      <c r="Q54" s="1">
        <v>45789.103375983796</v>
      </c>
      <c r="R54">
        <v>8.5</v>
      </c>
      <c r="S54">
        <v>10</v>
      </c>
      <c r="T54">
        <v>6.6</v>
      </c>
      <c r="U54">
        <v>25.1</v>
      </c>
      <c r="V54">
        <v>15.8</v>
      </c>
      <c r="W54" t="s">
        <v>52</v>
      </c>
      <c r="X54" t="s">
        <v>40</v>
      </c>
      <c r="Y54" t="s">
        <v>86</v>
      </c>
      <c r="Z54" s="1" t="s">
        <v>87</v>
      </c>
      <c r="AA54">
        <v>46256</v>
      </c>
      <c r="AB54">
        <v>1</v>
      </c>
      <c r="AC54">
        <v>0</v>
      </c>
      <c r="AD54">
        <v>1</v>
      </c>
      <c r="AE54">
        <v>1</v>
      </c>
      <c r="AF54" t="s">
        <v>105</v>
      </c>
      <c r="AG54">
        <v>-2.37</v>
      </c>
    </row>
    <row r="55" spans="1:33" x14ac:dyDescent="0.3">
      <c r="A55" t="s">
        <v>164</v>
      </c>
      <c r="B55" t="s">
        <v>291</v>
      </c>
      <c r="C55" t="s">
        <v>66</v>
      </c>
      <c r="D55" t="s">
        <v>48</v>
      </c>
      <c r="E55" t="s">
        <v>142</v>
      </c>
      <c r="F55">
        <v>54</v>
      </c>
      <c r="G55" t="s">
        <v>101</v>
      </c>
      <c r="H55" t="s">
        <v>51</v>
      </c>
      <c r="I55" t="s">
        <v>85</v>
      </c>
      <c r="J55" t="s">
        <v>40</v>
      </c>
      <c r="K55" s="1">
        <v>46403</v>
      </c>
      <c r="L55">
        <v>132</v>
      </c>
      <c r="M55" t="s">
        <v>41</v>
      </c>
      <c r="N55" s="1">
        <v>46167</v>
      </c>
      <c r="O55" s="1">
        <v>46169.696139907406</v>
      </c>
      <c r="P55" s="1">
        <v>46177.721562106482</v>
      </c>
      <c r="Q55" s="1">
        <v>46185.855266967592</v>
      </c>
      <c r="R55">
        <v>2.7</v>
      </c>
      <c r="S55">
        <v>8</v>
      </c>
      <c r="T55">
        <v>8.1</v>
      </c>
      <c r="U55">
        <v>18.899999999999999</v>
      </c>
      <c r="V55">
        <v>2.8</v>
      </c>
      <c r="W55" t="s">
        <v>63</v>
      </c>
      <c r="X55" t="s">
        <v>40</v>
      </c>
      <c r="Y55" t="s">
        <v>40</v>
      </c>
      <c r="Z55" s="1"/>
      <c r="AB55">
        <v>1</v>
      </c>
      <c r="AC55">
        <v>0</v>
      </c>
      <c r="AD55">
        <v>0</v>
      </c>
      <c r="AE55">
        <v>0</v>
      </c>
      <c r="AF55" t="s">
        <v>143</v>
      </c>
      <c r="AG55">
        <v>-4.9800000000000004</v>
      </c>
    </row>
    <row r="56" spans="1:33" x14ac:dyDescent="0.3">
      <c r="A56" t="s">
        <v>165</v>
      </c>
      <c r="B56" t="s">
        <v>292</v>
      </c>
      <c r="C56" t="s">
        <v>99</v>
      </c>
      <c r="D56" t="s">
        <v>48</v>
      </c>
      <c r="E56" t="s">
        <v>133</v>
      </c>
      <c r="F56">
        <v>35</v>
      </c>
      <c r="G56" t="s">
        <v>37</v>
      </c>
      <c r="H56" t="s">
        <v>38</v>
      </c>
      <c r="I56" t="s">
        <v>57</v>
      </c>
      <c r="J56" t="s">
        <v>40</v>
      </c>
      <c r="K56" s="1">
        <v>46404</v>
      </c>
      <c r="L56">
        <v>133</v>
      </c>
      <c r="M56" t="s">
        <v>41</v>
      </c>
      <c r="N56" s="1">
        <v>46189</v>
      </c>
      <c r="O56" s="1">
        <v>46194.435283321756</v>
      </c>
      <c r="P56" s="1">
        <v>46204.505993773149</v>
      </c>
      <c r="Q56" s="1">
        <v>46207.527996238423</v>
      </c>
      <c r="R56">
        <v>5.4</v>
      </c>
      <c r="S56">
        <v>10.1</v>
      </c>
      <c r="T56">
        <v>3</v>
      </c>
      <c r="U56">
        <v>18.5</v>
      </c>
      <c r="V56">
        <v>2.1</v>
      </c>
      <c r="W56" t="s">
        <v>63</v>
      </c>
      <c r="X56" t="s">
        <v>40</v>
      </c>
      <c r="Y56" t="s">
        <v>43</v>
      </c>
      <c r="Z56" s="1" t="s">
        <v>44</v>
      </c>
      <c r="AA56">
        <v>46257</v>
      </c>
      <c r="AB56">
        <v>1</v>
      </c>
      <c r="AC56">
        <v>0</v>
      </c>
      <c r="AD56">
        <v>0</v>
      </c>
      <c r="AE56">
        <v>1</v>
      </c>
      <c r="AF56" t="s">
        <v>134</v>
      </c>
      <c r="AG56">
        <v>1.6</v>
      </c>
    </row>
    <row r="57" spans="1:33" x14ac:dyDescent="0.3">
      <c r="A57" t="s">
        <v>166</v>
      </c>
      <c r="B57" t="s">
        <v>293</v>
      </c>
      <c r="C57" t="s">
        <v>119</v>
      </c>
      <c r="D57" t="s">
        <v>35</v>
      </c>
      <c r="E57" t="s">
        <v>104</v>
      </c>
      <c r="F57">
        <v>24</v>
      </c>
      <c r="G57" t="s">
        <v>56</v>
      </c>
      <c r="H57" t="s">
        <v>51</v>
      </c>
      <c r="I57" t="s">
        <v>39</v>
      </c>
      <c r="J57" t="s">
        <v>40</v>
      </c>
      <c r="K57" s="1">
        <v>46649</v>
      </c>
      <c r="L57">
        <v>378</v>
      </c>
      <c r="M57" t="s">
        <v>41</v>
      </c>
      <c r="N57" s="1">
        <v>45808</v>
      </c>
      <c r="O57" s="1">
        <v>45813.372956400461</v>
      </c>
      <c r="P57" s="1">
        <v>45818.754743020836</v>
      </c>
      <c r="Q57" s="1">
        <v>45821.518008946761</v>
      </c>
      <c r="R57">
        <v>5.4</v>
      </c>
      <c r="S57">
        <v>5.4</v>
      </c>
      <c r="T57">
        <v>2.8</v>
      </c>
      <c r="U57">
        <v>13.5</v>
      </c>
      <c r="V57">
        <v>14.8</v>
      </c>
      <c r="W57" t="s">
        <v>52</v>
      </c>
      <c r="X57" t="s">
        <v>40</v>
      </c>
      <c r="Y57" t="s">
        <v>40</v>
      </c>
      <c r="Z57" s="1"/>
      <c r="AB57">
        <v>1</v>
      </c>
      <c r="AC57">
        <v>0</v>
      </c>
      <c r="AD57">
        <v>0</v>
      </c>
      <c r="AE57">
        <v>0</v>
      </c>
      <c r="AF57" t="s">
        <v>105</v>
      </c>
      <c r="AG57">
        <v>1.75</v>
      </c>
    </row>
    <row r="58" spans="1:33" x14ac:dyDescent="0.3">
      <c r="A58" t="s">
        <v>167</v>
      </c>
      <c r="B58" t="s">
        <v>294</v>
      </c>
      <c r="C58" t="s">
        <v>47</v>
      </c>
      <c r="D58" t="s">
        <v>48</v>
      </c>
      <c r="E58" t="s">
        <v>82</v>
      </c>
      <c r="F58">
        <v>23</v>
      </c>
      <c r="G58" t="s">
        <v>56</v>
      </c>
      <c r="H58" t="s">
        <v>38</v>
      </c>
      <c r="I58" t="s">
        <v>57</v>
      </c>
      <c r="J58" t="s">
        <v>40</v>
      </c>
      <c r="K58" s="1">
        <v>46320</v>
      </c>
      <c r="L58">
        <v>49</v>
      </c>
      <c r="M58" t="s">
        <v>74</v>
      </c>
      <c r="N58" s="1">
        <v>45856</v>
      </c>
      <c r="O58" s="1">
        <v>45865.354466493052</v>
      </c>
      <c r="P58" s="1">
        <v>45876.129019224536</v>
      </c>
      <c r="Q58" s="1">
        <v>45883.313914247687</v>
      </c>
      <c r="R58">
        <v>9.4</v>
      </c>
      <c r="S58">
        <v>10.8</v>
      </c>
      <c r="T58">
        <v>7.2</v>
      </c>
      <c r="U58">
        <v>27.3</v>
      </c>
      <c r="V58">
        <v>12.7</v>
      </c>
      <c r="W58" t="s">
        <v>52</v>
      </c>
      <c r="X58" t="s">
        <v>40</v>
      </c>
      <c r="Y58" t="s">
        <v>40</v>
      </c>
      <c r="Z58" s="1"/>
      <c r="AB58">
        <v>1</v>
      </c>
      <c r="AC58">
        <v>0</v>
      </c>
      <c r="AD58">
        <v>1</v>
      </c>
      <c r="AE58">
        <v>0</v>
      </c>
      <c r="AF58" t="s">
        <v>83</v>
      </c>
      <c r="AG58">
        <v>-5.49</v>
      </c>
    </row>
    <row r="59" spans="1:33" x14ac:dyDescent="0.3">
      <c r="A59" t="s">
        <v>168</v>
      </c>
      <c r="B59" t="s">
        <v>295</v>
      </c>
      <c r="C59" t="s">
        <v>78</v>
      </c>
      <c r="D59" t="s">
        <v>35</v>
      </c>
      <c r="E59" t="s">
        <v>115</v>
      </c>
      <c r="F59">
        <v>29</v>
      </c>
      <c r="G59" t="s">
        <v>56</v>
      </c>
      <c r="H59" t="s">
        <v>51</v>
      </c>
      <c r="I59" t="s">
        <v>73</v>
      </c>
      <c r="J59" t="s">
        <v>40</v>
      </c>
      <c r="K59" s="1">
        <v>46296</v>
      </c>
      <c r="L59">
        <v>25</v>
      </c>
      <c r="M59" t="s">
        <v>58</v>
      </c>
      <c r="N59" s="1">
        <v>45851</v>
      </c>
      <c r="O59" s="1">
        <v>45860.696436412036</v>
      </c>
      <c r="P59" s="1">
        <v>45865.565959942127</v>
      </c>
      <c r="Q59" s="1">
        <v>45873.428972546295</v>
      </c>
      <c r="R59">
        <v>9.6999999999999993</v>
      </c>
      <c r="S59">
        <v>4.9000000000000004</v>
      </c>
      <c r="T59">
        <v>7.9</v>
      </c>
      <c r="U59">
        <v>22.4</v>
      </c>
      <c r="V59">
        <v>13.1</v>
      </c>
      <c r="W59" t="s">
        <v>52</v>
      </c>
      <c r="X59" t="s">
        <v>40</v>
      </c>
      <c r="Y59" t="s">
        <v>40</v>
      </c>
      <c r="Z59" s="1"/>
      <c r="AB59">
        <v>1</v>
      </c>
      <c r="AC59">
        <v>1</v>
      </c>
      <c r="AD59">
        <v>1</v>
      </c>
      <c r="AE59">
        <v>0</v>
      </c>
      <c r="AF59" t="s">
        <v>116</v>
      </c>
      <c r="AG59">
        <v>-4.76</v>
      </c>
    </row>
    <row r="60" spans="1:33" x14ac:dyDescent="0.3">
      <c r="A60" t="s">
        <v>169</v>
      </c>
      <c r="B60" t="s">
        <v>296</v>
      </c>
      <c r="C60" t="s">
        <v>34</v>
      </c>
      <c r="D60" t="s">
        <v>35</v>
      </c>
      <c r="E60" t="s">
        <v>133</v>
      </c>
      <c r="F60">
        <v>49</v>
      </c>
      <c r="G60" t="s">
        <v>50</v>
      </c>
      <c r="H60" t="s">
        <v>38</v>
      </c>
      <c r="I60" t="s">
        <v>109</v>
      </c>
      <c r="J60" t="s">
        <v>40</v>
      </c>
      <c r="K60" s="1">
        <v>46702</v>
      </c>
      <c r="L60">
        <v>431</v>
      </c>
      <c r="M60" t="s">
        <v>58</v>
      </c>
      <c r="N60" s="1">
        <v>45798</v>
      </c>
      <c r="O60" s="1">
        <v>45804.99731515046</v>
      </c>
      <c r="P60" s="1">
        <v>45813.680613865741</v>
      </c>
      <c r="Q60" s="1">
        <v>45817.460120393516</v>
      </c>
      <c r="R60">
        <v>7</v>
      </c>
      <c r="S60">
        <v>8.6999999999999993</v>
      </c>
      <c r="T60">
        <v>3.8</v>
      </c>
      <c r="U60">
        <v>19.5</v>
      </c>
      <c r="V60">
        <v>14.9</v>
      </c>
      <c r="W60" t="s">
        <v>52</v>
      </c>
      <c r="X60" t="s">
        <v>40</v>
      </c>
      <c r="Y60" t="s">
        <v>40</v>
      </c>
      <c r="Z60" s="1"/>
      <c r="AB60">
        <v>1</v>
      </c>
      <c r="AC60">
        <v>0</v>
      </c>
      <c r="AD60">
        <v>0</v>
      </c>
      <c r="AE60">
        <v>0</v>
      </c>
      <c r="AF60" t="s">
        <v>134</v>
      </c>
      <c r="AG60">
        <v>3.55</v>
      </c>
    </row>
    <row r="61" spans="1:33" x14ac:dyDescent="0.3">
      <c r="A61" t="s">
        <v>170</v>
      </c>
      <c r="B61" t="s">
        <v>297</v>
      </c>
      <c r="C61" t="s">
        <v>71</v>
      </c>
      <c r="D61" t="s">
        <v>48</v>
      </c>
      <c r="E61" t="s">
        <v>104</v>
      </c>
      <c r="F61">
        <v>25</v>
      </c>
      <c r="G61" t="s">
        <v>56</v>
      </c>
      <c r="H61" t="s">
        <v>51</v>
      </c>
      <c r="I61" t="s">
        <v>57</v>
      </c>
      <c r="J61" t="s">
        <v>40</v>
      </c>
      <c r="K61" s="1">
        <v>46325</v>
      </c>
      <c r="L61">
        <v>54</v>
      </c>
      <c r="M61" t="s">
        <v>41</v>
      </c>
      <c r="N61" s="1">
        <v>45914</v>
      </c>
      <c r="O61" s="1">
        <v>45921.075171712961</v>
      </c>
      <c r="P61" s="1">
        <v>45925.652988287038</v>
      </c>
      <c r="Q61" s="1">
        <v>45932.872514571762</v>
      </c>
      <c r="R61">
        <v>7.1</v>
      </c>
      <c r="S61">
        <v>4.5999999999999996</v>
      </c>
      <c r="T61">
        <v>7.2</v>
      </c>
      <c r="U61">
        <v>18.899999999999999</v>
      </c>
      <c r="V61">
        <v>11.1</v>
      </c>
      <c r="W61" t="s">
        <v>42</v>
      </c>
      <c r="X61" t="s">
        <v>40</v>
      </c>
      <c r="Y61" t="s">
        <v>40</v>
      </c>
      <c r="Z61" s="1"/>
      <c r="AB61">
        <v>1</v>
      </c>
      <c r="AC61">
        <v>0</v>
      </c>
      <c r="AD61">
        <v>1</v>
      </c>
      <c r="AE61">
        <v>0</v>
      </c>
      <c r="AF61" t="s">
        <v>105</v>
      </c>
      <c r="AG61">
        <v>-1.89</v>
      </c>
    </row>
    <row r="62" spans="1:33" x14ac:dyDescent="0.3">
      <c r="A62" t="s">
        <v>171</v>
      </c>
      <c r="B62" t="s">
        <v>298</v>
      </c>
      <c r="C62" t="s">
        <v>99</v>
      </c>
      <c r="D62" t="s">
        <v>48</v>
      </c>
      <c r="E62" t="s">
        <v>115</v>
      </c>
      <c r="F62">
        <v>34</v>
      </c>
      <c r="G62" t="s">
        <v>37</v>
      </c>
      <c r="H62" t="s">
        <v>38</v>
      </c>
      <c r="I62" t="s">
        <v>57</v>
      </c>
      <c r="J62" t="s">
        <v>40</v>
      </c>
      <c r="K62" s="1">
        <v>46301</v>
      </c>
      <c r="L62">
        <v>30</v>
      </c>
      <c r="M62" t="s">
        <v>58</v>
      </c>
      <c r="N62" s="1">
        <v>45934</v>
      </c>
      <c r="O62" s="1">
        <v>45941.602232708334</v>
      </c>
      <c r="P62" s="1">
        <v>45947.634254884259</v>
      </c>
      <c r="Q62" s="1">
        <v>45956.035478067133</v>
      </c>
      <c r="R62">
        <v>7.6</v>
      </c>
      <c r="S62">
        <v>6</v>
      </c>
      <c r="T62">
        <v>8.4</v>
      </c>
      <c r="U62">
        <v>22</v>
      </c>
      <c r="V62">
        <v>10.3</v>
      </c>
      <c r="W62" t="s">
        <v>42</v>
      </c>
      <c r="X62" t="s">
        <v>40</v>
      </c>
      <c r="Y62" t="s">
        <v>40</v>
      </c>
      <c r="Z62" s="1"/>
      <c r="AB62">
        <v>1</v>
      </c>
      <c r="AC62">
        <v>1</v>
      </c>
      <c r="AD62">
        <v>1</v>
      </c>
      <c r="AE62">
        <v>0</v>
      </c>
      <c r="AF62" t="s">
        <v>116</v>
      </c>
      <c r="AG62">
        <v>5.96</v>
      </c>
    </row>
    <row r="63" spans="1:33" x14ac:dyDescent="0.3">
      <c r="A63" t="s">
        <v>172</v>
      </c>
      <c r="B63" t="s">
        <v>299</v>
      </c>
      <c r="C63" t="s">
        <v>34</v>
      </c>
      <c r="D63" t="s">
        <v>35</v>
      </c>
      <c r="E63" t="s">
        <v>145</v>
      </c>
      <c r="F63">
        <v>55</v>
      </c>
      <c r="G63" t="s">
        <v>101</v>
      </c>
      <c r="H63" t="s">
        <v>38</v>
      </c>
      <c r="I63" t="s">
        <v>85</v>
      </c>
      <c r="J63" t="s">
        <v>40</v>
      </c>
      <c r="K63" s="1">
        <v>46783</v>
      </c>
      <c r="L63">
        <v>512</v>
      </c>
      <c r="M63" t="s">
        <v>74</v>
      </c>
      <c r="N63" s="1">
        <v>46192</v>
      </c>
      <c r="O63" s="1">
        <v>46200.473348136577</v>
      </c>
      <c r="P63" s="1">
        <v>46207.30156659722</v>
      </c>
      <c r="Q63" s="1">
        <v>46208.85181576389</v>
      </c>
      <c r="R63">
        <v>8.5</v>
      </c>
      <c r="S63">
        <v>6.8</v>
      </c>
      <c r="T63">
        <v>1.6</v>
      </c>
      <c r="U63">
        <v>16.899999999999999</v>
      </c>
      <c r="V63">
        <v>2</v>
      </c>
      <c r="W63" t="s">
        <v>63</v>
      </c>
      <c r="X63" t="s">
        <v>40</v>
      </c>
      <c r="Y63" t="s">
        <v>40</v>
      </c>
      <c r="Z63" s="1"/>
      <c r="AB63">
        <v>1</v>
      </c>
      <c r="AC63">
        <v>0</v>
      </c>
      <c r="AD63">
        <v>0</v>
      </c>
      <c r="AE63">
        <v>0</v>
      </c>
      <c r="AF63" t="s">
        <v>147</v>
      </c>
      <c r="AG63">
        <v>-3.25</v>
      </c>
    </row>
    <row r="64" spans="1:33" x14ac:dyDescent="0.3">
      <c r="A64" t="s">
        <v>173</v>
      </c>
      <c r="B64" t="s">
        <v>300</v>
      </c>
      <c r="C64" t="s">
        <v>34</v>
      </c>
      <c r="D64" t="s">
        <v>35</v>
      </c>
      <c r="E64" t="s">
        <v>36</v>
      </c>
      <c r="F64">
        <v>33</v>
      </c>
      <c r="G64" t="s">
        <v>37</v>
      </c>
      <c r="H64" t="s">
        <v>51</v>
      </c>
      <c r="I64" t="s">
        <v>39</v>
      </c>
      <c r="J64" t="s">
        <v>40</v>
      </c>
      <c r="K64" s="1">
        <v>46489</v>
      </c>
      <c r="L64">
        <v>218</v>
      </c>
      <c r="M64" t="s">
        <v>41</v>
      </c>
      <c r="N64" s="1">
        <v>45919</v>
      </c>
      <c r="O64" s="1">
        <v>45926.006697002318</v>
      </c>
      <c r="P64" s="1">
        <v>45935.259800590276</v>
      </c>
      <c r="Q64" s="1">
        <v>45942.345209305553</v>
      </c>
      <c r="R64">
        <v>7</v>
      </c>
      <c r="S64">
        <v>9.3000000000000007</v>
      </c>
      <c r="T64">
        <v>7.1</v>
      </c>
      <c r="U64">
        <v>23.3</v>
      </c>
      <c r="V64">
        <v>10.8</v>
      </c>
      <c r="W64" t="s">
        <v>42</v>
      </c>
      <c r="X64" t="s">
        <v>40</v>
      </c>
      <c r="Y64" t="s">
        <v>86</v>
      </c>
      <c r="Z64" s="1" t="s">
        <v>87</v>
      </c>
      <c r="AA64">
        <v>46265</v>
      </c>
      <c r="AB64">
        <v>1</v>
      </c>
      <c r="AC64">
        <v>0</v>
      </c>
      <c r="AD64">
        <v>0</v>
      </c>
      <c r="AE64">
        <v>1</v>
      </c>
      <c r="AF64" t="s">
        <v>45</v>
      </c>
      <c r="AG64">
        <v>0.48</v>
      </c>
    </row>
    <row r="65" spans="1:33" x14ac:dyDescent="0.3">
      <c r="A65" t="s">
        <v>174</v>
      </c>
      <c r="B65" t="s">
        <v>301</v>
      </c>
      <c r="C65" t="s">
        <v>47</v>
      </c>
      <c r="D65" t="s">
        <v>48</v>
      </c>
      <c r="E65" t="s">
        <v>104</v>
      </c>
      <c r="F65">
        <v>41</v>
      </c>
      <c r="G65" t="s">
        <v>50</v>
      </c>
      <c r="H65" t="s">
        <v>51</v>
      </c>
      <c r="I65" t="s">
        <v>57</v>
      </c>
      <c r="J65" t="s">
        <v>40</v>
      </c>
      <c r="K65" s="1">
        <v>46737</v>
      </c>
      <c r="L65">
        <v>466</v>
      </c>
      <c r="M65" t="s">
        <v>41</v>
      </c>
      <c r="N65" s="1">
        <v>45928</v>
      </c>
      <c r="O65" s="1">
        <v>45933.195368483794</v>
      </c>
      <c r="P65" s="1">
        <v>45939.721897048614</v>
      </c>
      <c r="Q65" s="1">
        <v>45943.664712962964</v>
      </c>
      <c r="R65">
        <v>5.2</v>
      </c>
      <c r="S65">
        <v>6.5</v>
      </c>
      <c r="T65">
        <v>3.9</v>
      </c>
      <c r="U65">
        <v>15.7</v>
      </c>
      <c r="V65">
        <v>10.8</v>
      </c>
      <c r="W65" t="s">
        <v>42</v>
      </c>
      <c r="X65" t="s">
        <v>40</v>
      </c>
      <c r="Y65" t="s">
        <v>40</v>
      </c>
      <c r="Z65" s="1"/>
      <c r="AB65">
        <v>1</v>
      </c>
      <c r="AC65">
        <v>0</v>
      </c>
      <c r="AD65">
        <v>0</v>
      </c>
      <c r="AE65">
        <v>0</v>
      </c>
      <c r="AF65" t="s">
        <v>105</v>
      </c>
      <c r="AG65">
        <v>0.76</v>
      </c>
    </row>
    <row r="66" spans="1:33" x14ac:dyDescent="0.3">
      <c r="A66" t="s">
        <v>175</v>
      </c>
      <c r="B66" t="s">
        <v>302</v>
      </c>
      <c r="C66" t="s">
        <v>78</v>
      </c>
      <c r="D66" t="s">
        <v>35</v>
      </c>
      <c r="E66" t="s">
        <v>120</v>
      </c>
      <c r="F66">
        <v>58</v>
      </c>
      <c r="G66" t="s">
        <v>101</v>
      </c>
      <c r="H66" t="s">
        <v>38</v>
      </c>
      <c r="I66" t="s">
        <v>39</v>
      </c>
      <c r="J66" t="s">
        <v>40</v>
      </c>
      <c r="K66" s="1">
        <v>46593</v>
      </c>
      <c r="L66">
        <v>322</v>
      </c>
      <c r="M66" t="s">
        <v>58</v>
      </c>
      <c r="N66" s="1">
        <v>45818</v>
      </c>
      <c r="O66" s="1">
        <v>45822.249963125003</v>
      </c>
      <c r="P66" s="1">
        <v>45833.149505011577</v>
      </c>
      <c r="Q66" s="1">
        <v>45842.018240092591</v>
      </c>
      <c r="R66">
        <v>4.2</v>
      </c>
      <c r="S66">
        <v>10.9</v>
      </c>
      <c r="T66">
        <v>8.9</v>
      </c>
      <c r="U66">
        <v>24</v>
      </c>
      <c r="V66">
        <v>14.1</v>
      </c>
      <c r="W66" t="s">
        <v>52</v>
      </c>
      <c r="X66" t="s">
        <v>40</v>
      </c>
      <c r="Y66" t="s">
        <v>40</v>
      </c>
      <c r="Z66" s="1"/>
      <c r="AB66">
        <v>1</v>
      </c>
      <c r="AC66">
        <v>0</v>
      </c>
      <c r="AD66">
        <v>0</v>
      </c>
      <c r="AE66">
        <v>0</v>
      </c>
      <c r="AF66" t="s">
        <v>121</v>
      </c>
      <c r="AG66">
        <v>5.15</v>
      </c>
    </row>
    <row r="67" spans="1:33" x14ac:dyDescent="0.3">
      <c r="A67" t="s">
        <v>176</v>
      </c>
      <c r="B67" t="s">
        <v>303</v>
      </c>
      <c r="C67" t="s">
        <v>119</v>
      </c>
      <c r="D67" t="s">
        <v>35</v>
      </c>
      <c r="E67" t="s">
        <v>72</v>
      </c>
      <c r="F67">
        <v>52</v>
      </c>
      <c r="G67" t="s">
        <v>101</v>
      </c>
      <c r="H67" t="s">
        <v>51</v>
      </c>
      <c r="I67" t="s">
        <v>39</v>
      </c>
      <c r="J67" t="s">
        <v>40</v>
      </c>
      <c r="K67" s="1">
        <v>46348</v>
      </c>
      <c r="L67">
        <v>77</v>
      </c>
      <c r="M67" t="s">
        <v>41</v>
      </c>
      <c r="N67" s="1">
        <v>45853</v>
      </c>
      <c r="O67" s="1">
        <v>45859.085498483793</v>
      </c>
      <c r="P67" s="1">
        <v>45867.631643923611</v>
      </c>
      <c r="Q67" s="1">
        <v>45872.726067199073</v>
      </c>
      <c r="R67">
        <v>6.1</v>
      </c>
      <c r="S67">
        <v>8.5</v>
      </c>
      <c r="T67">
        <v>5.0999999999999996</v>
      </c>
      <c r="U67">
        <v>19.7</v>
      </c>
      <c r="V67">
        <v>13.1</v>
      </c>
      <c r="W67" t="s">
        <v>52</v>
      </c>
      <c r="X67" t="s">
        <v>40</v>
      </c>
      <c r="Y67" t="s">
        <v>40</v>
      </c>
      <c r="Z67" s="1"/>
      <c r="AB67">
        <v>1</v>
      </c>
      <c r="AC67">
        <v>0</v>
      </c>
      <c r="AD67">
        <v>1</v>
      </c>
      <c r="AE67">
        <v>0</v>
      </c>
      <c r="AF67" t="s">
        <v>76</v>
      </c>
      <c r="AG67">
        <v>0.7</v>
      </c>
    </row>
    <row r="68" spans="1:33" x14ac:dyDescent="0.3">
      <c r="A68" t="s">
        <v>177</v>
      </c>
      <c r="B68" t="s">
        <v>304</v>
      </c>
      <c r="C68" t="s">
        <v>78</v>
      </c>
      <c r="D68" t="s">
        <v>35</v>
      </c>
      <c r="E68" t="s">
        <v>111</v>
      </c>
      <c r="F68">
        <v>31</v>
      </c>
      <c r="G68" t="s">
        <v>37</v>
      </c>
      <c r="H68" t="s">
        <v>38</v>
      </c>
      <c r="I68" t="s">
        <v>39</v>
      </c>
      <c r="J68" t="s">
        <v>40</v>
      </c>
      <c r="K68" s="1">
        <v>46449</v>
      </c>
      <c r="L68">
        <v>178</v>
      </c>
      <c r="M68" t="s">
        <v>41</v>
      </c>
      <c r="N68" s="1">
        <v>45761</v>
      </c>
      <c r="O68" s="1">
        <v>45768.137937164349</v>
      </c>
      <c r="P68" s="1">
        <v>45775.192371145837</v>
      </c>
      <c r="Q68" s="1">
        <v>45776.693161087962</v>
      </c>
      <c r="R68">
        <v>7.1</v>
      </c>
      <c r="S68">
        <v>7.1</v>
      </c>
      <c r="T68">
        <v>1.5</v>
      </c>
      <c r="U68">
        <v>15.7</v>
      </c>
      <c r="V68">
        <v>16.2</v>
      </c>
      <c r="W68" t="s">
        <v>52</v>
      </c>
      <c r="X68" t="s">
        <v>40</v>
      </c>
      <c r="Y68" t="s">
        <v>40</v>
      </c>
      <c r="Z68" s="1"/>
      <c r="AB68">
        <v>1</v>
      </c>
      <c r="AC68">
        <v>0</v>
      </c>
      <c r="AD68">
        <v>0</v>
      </c>
      <c r="AE68">
        <v>0</v>
      </c>
      <c r="AF68" t="s">
        <v>112</v>
      </c>
      <c r="AG68">
        <v>-5.5</v>
      </c>
    </row>
    <row r="69" spans="1:33" x14ac:dyDescent="0.3">
      <c r="A69" t="s">
        <v>178</v>
      </c>
      <c r="B69" t="s">
        <v>305</v>
      </c>
      <c r="C69" t="s">
        <v>99</v>
      </c>
      <c r="D69" t="s">
        <v>48</v>
      </c>
      <c r="E69" t="s">
        <v>49</v>
      </c>
      <c r="F69">
        <v>53</v>
      </c>
      <c r="G69" t="s">
        <v>101</v>
      </c>
      <c r="H69" t="s">
        <v>51</v>
      </c>
      <c r="I69" t="s">
        <v>85</v>
      </c>
      <c r="J69" t="s">
        <v>40</v>
      </c>
      <c r="K69" s="1">
        <v>46603</v>
      </c>
      <c r="L69">
        <v>332</v>
      </c>
      <c r="M69" t="s">
        <v>74</v>
      </c>
      <c r="N69" s="1">
        <v>46080</v>
      </c>
      <c r="O69" s="1">
        <v>46085.144615578705</v>
      </c>
      <c r="P69" s="1">
        <v>46088.568775763888</v>
      </c>
      <c r="Q69" s="1">
        <v>46089.823212002317</v>
      </c>
      <c r="R69">
        <v>5.0999999999999996</v>
      </c>
      <c r="S69">
        <v>3.4</v>
      </c>
      <c r="T69">
        <v>1.3</v>
      </c>
      <c r="U69">
        <v>9.8000000000000007</v>
      </c>
      <c r="V69">
        <v>6</v>
      </c>
      <c r="W69" t="s">
        <v>75</v>
      </c>
      <c r="X69" t="s">
        <v>40</v>
      </c>
      <c r="Y69" t="s">
        <v>40</v>
      </c>
      <c r="Z69" s="1"/>
      <c r="AB69">
        <v>1</v>
      </c>
      <c r="AC69">
        <v>0</v>
      </c>
      <c r="AD69">
        <v>0</v>
      </c>
      <c r="AE69">
        <v>0</v>
      </c>
      <c r="AF69" t="s">
        <v>53</v>
      </c>
      <c r="AG69">
        <v>2.09</v>
      </c>
    </row>
    <row r="70" spans="1:33" x14ac:dyDescent="0.3">
      <c r="A70" t="s">
        <v>179</v>
      </c>
      <c r="B70" t="s">
        <v>306</v>
      </c>
      <c r="C70" t="s">
        <v>99</v>
      </c>
      <c r="D70" t="s">
        <v>48</v>
      </c>
      <c r="E70" t="s">
        <v>89</v>
      </c>
      <c r="F70">
        <v>52</v>
      </c>
      <c r="G70" t="s">
        <v>101</v>
      </c>
      <c r="H70" t="s">
        <v>38</v>
      </c>
      <c r="I70" t="s">
        <v>85</v>
      </c>
      <c r="J70" t="s">
        <v>40</v>
      </c>
      <c r="K70" s="1">
        <v>46651</v>
      </c>
      <c r="L70">
        <v>380</v>
      </c>
      <c r="M70" t="s">
        <v>74</v>
      </c>
      <c r="N70" s="1">
        <v>46018</v>
      </c>
      <c r="O70" s="1">
        <v>46025.464534421299</v>
      </c>
      <c r="P70" s="1">
        <v>46029.157377129632</v>
      </c>
      <c r="Q70" s="1">
        <v>46031.080934999998</v>
      </c>
      <c r="R70">
        <v>7.5</v>
      </c>
      <c r="S70">
        <v>3.7</v>
      </c>
      <c r="T70">
        <v>1.9</v>
      </c>
      <c r="U70">
        <v>13.1</v>
      </c>
      <c r="V70">
        <v>7.9</v>
      </c>
      <c r="W70" t="s">
        <v>42</v>
      </c>
      <c r="X70" t="s">
        <v>40</v>
      </c>
      <c r="Y70" t="s">
        <v>40</v>
      </c>
      <c r="Z70" s="1"/>
      <c r="AB70">
        <v>1</v>
      </c>
      <c r="AC70">
        <v>0</v>
      </c>
      <c r="AD70">
        <v>0</v>
      </c>
      <c r="AE70">
        <v>0</v>
      </c>
      <c r="AF70" t="s">
        <v>92</v>
      </c>
      <c r="AG70">
        <v>-4.5599999999999996</v>
      </c>
    </row>
    <row r="71" spans="1:33" x14ac:dyDescent="0.3">
      <c r="A71" t="s">
        <v>180</v>
      </c>
      <c r="B71" t="s">
        <v>307</v>
      </c>
      <c r="C71" t="s">
        <v>71</v>
      </c>
      <c r="D71" t="s">
        <v>48</v>
      </c>
      <c r="E71" t="s">
        <v>104</v>
      </c>
      <c r="F71">
        <v>36</v>
      </c>
      <c r="G71" t="s">
        <v>37</v>
      </c>
      <c r="H71" t="s">
        <v>51</v>
      </c>
      <c r="I71" t="s">
        <v>73</v>
      </c>
      <c r="J71" t="s">
        <v>40</v>
      </c>
      <c r="K71" s="1">
        <v>46432</v>
      </c>
      <c r="L71">
        <v>161</v>
      </c>
      <c r="M71" t="s">
        <v>74</v>
      </c>
      <c r="N71" s="1">
        <v>45811</v>
      </c>
      <c r="O71" s="1">
        <v>45815.369906319444</v>
      </c>
      <c r="P71" s="1">
        <v>45821.856483414354</v>
      </c>
      <c r="Q71" s="1">
        <v>45828.162475520832</v>
      </c>
      <c r="R71">
        <v>4.4000000000000004</v>
      </c>
      <c r="S71">
        <v>6.5</v>
      </c>
      <c r="T71">
        <v>6.3</v>
      </c>
      <c r="U71">
        <v>17.2</v>
      </c>
      <c r="V71">
        <v>14.5</v>
      </c>
      <c r="W71" t="s">
        <v>52</v>
      </c>
      <c r="X71" t="s">
        <v>40</v>
      </c>
      <c r="Y71" t="s">
        <v>40</v>
      </c>
      <c r="Z71" s="1"/>
      <c r="AB71">
        <v>1</v>
      </c>
      <c r="AC71">
        <v>0</v>
      </c>
      <c r="AD71">
        <v>0</v>
      </c>
      <c r="AE71">
        <v>0</v>
      </c>
      <c r="AF71" t="s">
        <v>105</v>
      </c>
      <c r="AG71">
        <v>3.07</v>
      </c>
    </row>
    <row r="72" spans="1:33" x14ac:dyDescent="0.3">
      <c r="A72" t="s">
        <v>181</v>
      </c>
      <c r="B72" t="s">
        <v>308</v>
      </c>
      <c r="C72" t="s">
        <v>99</v>
      </c>
      <c r="D72" t="s">
        <v>48</v>
      </c>
      <c r="E72" t="s">
        <v>72</v>
      </c>
      <c r="F72">
        <v>23</v>
      </c>
      <c r="G72" t="s">
        <v>56</v>
      </c>
      <c r="H72" t="s">
        <v>38</v>
      </c>
      <c r="I72" t="s">
        <v>85</v>
      </c>
      <c r="J72" t="s">
        <v>40</v>
      </c>
      <c r="K72" s="1">
        <v>46330</v>
      </c>
      <c r="L72">
        <v>59</v>
      </c>
      <c r="M72" t="s">
        <v>74</v>
      </c>
      <c r="N72" s="1">
        <v>46052</v>
      </c>
      <c r="O72" s="1">
        <v>46061.943614525466</v>
      </c>
      <c r="P72" s="1">
        <v>46069.557810092592</v>
      </c>
      <c r="Q72" s="1">
        <v>46074.830882685186</v>
      </c>
      <c r="R72">
        <v>9.9</v>
      </c>
      <c r="S72">
        <v>7.6</v>
      </c>
      <c r="T72">
        <v>5.3</v>
      </c>
      <c r="U72">
        <v>22.8</v>
      </c>
      <c r="V72">
        <v>6.4</v>
      </c>
      <c r="W72" t="s">
        <v>42</v>
      </c>
      <c r="X72" t="s">
        <v>40</v>
      </c>
      <c r="Y72" t="s">
        <v>40</v>
      </c>
      <c r="Z72" s="1"/>
      <c r="AB72">
        <v>1</v>
      </c>
      <c r="AC72">
        <v>0</v>
      </c>
      <c r="AD72">
        <v>1</v>
      </c>
      <c r="AE72">
        <v>0</v>
      </c>
      <c r="AF72" t="s">
        <v>76</v>
      </c>
      <c r="AG72">
        <v>-5.43</v>
      </c>
    </row>
    <row r="73" spans="1:33" x14ac:dyDescent="0.3">
      <c r="A73" t="s">
        <v>182</v>
      </c>
      <c r="B73" t="s">
        <v>309</v>
      </c>
      <c r="C73" t="s">
        <v>66</v>
      </c>
      <c r="D73" t="s">
        <v>48</v>
      </c>
      <c r="E73" t="s">
        <v>62</v>
      </c>
      <c r="F73">
        <v>46</v>
      </c>
      <c r="G73" t="s">
        <v>50</v>
      </c>
      <c r="H73" t="s">
        <v>51</v>
      </c>
      <c r="I73" t="s">
        <v>39</v>
      </c>
      <c r="J73" t="s">
        <v>40</v>
      </c>
      <c r="K73" s="1">
        <v>46522</v>
      </c>
      <c r="L73">
        <v>251</v>
      </c>
      <c r="M73" t="s">
        <v>41</v>
      </c>
      <c r="N73" s="1">
        <v>45771</v>
      </c>
      <c r="O73" s="1">
        <v>45776.506348229166</v>
      </c>
      <c r="P73" s="1">
        <v>45780.757256377314</v>
      </c>
      <c r="Q73" s="1">
        <v>45787.98580412037</v>
      </c>
      <c r="R73">
        <v>5.5</v>
      </c>
      <c r="S73">
        <v>4.3</v>
      </c>
      <c r="T73">
        <v>7.2</v>
      </c>
      <c r="U73">
        <v>17</v>
      </c>
      <c r="V73">
        <v>15.9</v>
      </c>
      <c r="W73" t="s">
        <v>52</v>
      </c>
      <c r="X73" t="s">
        <v>40</v>
      </c>
      <c r="Y73" t="s">
        <v>146</v>
      </c>
      <c r="Z73" s="1" t="s">
        <v>183</v>
      </c>
      <c r="AA73">
        <v>46246</v>
      </c>
      <c r="AB73">
        <v>1</v>
      </c>
      <c r="AC73">
        <v>0</v>
      </c>
      <c r="AD73">
        <v>0</v>
      </c>
      <c r="AE73">
        <v>1</v>
      </c>
      <c r="AF73" t="s">
        <v>64</v>
      </c>
      <c r="AG73">
        <v>3.05</v>
      </c>
    </row>
    <row r="74" spans="1:33" x14ac:dyDescent="0.3">
      <c r="A74" t="s">
        <v>184</v>
      </c>
      <c r="B74" t="s">
        <v>310</v>
      </c>
      <c r="C74" t="s">
        <v>34</v>
      </c>
      <c r="D74" t="s">
        <v>35</v>
      </c>
      <c r="E74" t="s">
        <v>185</v>
      </c>
      <c r="F74">
        <v>30</v>
      </c>
      <c r="G74" t="s">
        <v>37</v>
      </c>
      <c r="H74" t="s">
        <v>38</v>
      </c>
      <c r="I74" t="s">
        <v>73</v>
      </c>
      <c r="J74" t="s">
        <v>40</v>
      </c>
      <c r="K74" s="1">
        <v>46707</v>
      </c>
      <c r="L74">
        <v>436</v>
      </c>
      <c r="M74" t="s">
        <v>58</v>
      </c>
      <c r="N74" s="1">
        <v>45932</v>
      </c>
      <c r="O74" s="1">
        <v>45935.142188796293</v>
      </c>
      <c r="P74" s="1">
        <v>45943.019155706017</v>
      </c>
      <c r="Q74" s="1">
        <v>45950.406179166668</v>
      </c>
      <c r="R74">
        <v>3.1</v>
      </c>
      <c r="S74">
        <v>7.9</v>
      </c>
      <c r="T74">
        <v>7.4</v>
      </c>
      <c r="U74">
        <v>18.399999999999999</v>
      </c>
      <c r="V74">
        <v>10.5</v>
      </c>
      <c r="W74" t="s">
        <v>42</v>
      </c>
      <c r="X74" t="s">
        <v>40</v>
      </c>
      <c r="Y74" t="s">
        <v>40</v>
      </c>
      <c r="Z74" s="1"/>
      <c r="AB74">
        <v>1</v>
      </c>
      <c r="AC74">
        <v>0</v>
      </c>
      <c r="AD74">
        <v>0</v>
      </c>
      <c r="AE74">
        <v>0</v>
      </c>
      <c r="AF74" t="s">
        <v>186</v>
      </c>
      <c r="AG74">
        <v>4.8</v>
      </c>
    </row>
    <row r="75" spans="1:33" x14ac:dyDescent="0.3">
      <c r="A75" t="s">
        <v>187</v>
      </c>
      <c r="B75" t="s">
        <v>311</v>
      </c>
      <c r="C75" t="s">
        <v>61</v>
      </c>
      <c r="D75" t="s">
        <v>35</v>
      </c>
      <c r="E75" t="s">
        <v>49</v>
      </c>
      <c r="F75">
        <v>57</v>
      </c>
      <c r="G75" t="s">
        <v>101</v>
      </c>
      <c r="H75" t="s">
        <v>51</v>
      </c>
      <c r="I75" t="s">
        <v>39</v>
      </c>
      <c r="J75" t="s">
        <v>40</v>
      </c>
      <c r="K75" s="1">
        <v>46316</v>
      </c>
      <c r="L75">
        <v>45</v>
      </c>
      <c r="M75" t="s">
        <v>58</v>
      </c>
      <c r="N75" s="1">
        <v>46052</v>
      </c>
      <c r="O75" s="1">
        <v>46058.659305694448</v>
      </c>
      <c r="P75" s="1">
        <v>46069.065221793979</v>
      </c>
      <c r="Q75" s="1">
        <v>46074.215300798613</v>
      </c>
      <c r="R75">
        <v>6.7</v>
      </c>
      <c r="S75">
        <v>10.4</v>
      </c>
      <c r="T75">
        <v>5.2</v>
      </c>
      <c r="U75">
        <v>22.2</v>
      </c>
      <c r="V75">
        <v>6.5</v>
      </c>
      <c r="W75" t="s">
        <v>42</v>
      </c>
      <c r="X75" t="s">
        <v>40</v>
      </c>
      <c r="Y75" t="s">
        <v>40</v>
      </c>
      <c r="Z75" s="1"/>
      <c r="AB75">
        <v>1</v>
      </c>
      <c r="AC75">
        <v>0</v>
      </c>
      <c r="AD75">
        <v>1</v>
      </c>
      <c r="AE75">
        <v>0</v>
      </c>
      <c r="AF75" t="s">
        <v>53</v>
      </c>
      <c r="AG75">
        <v>-0.91</v>
      </c>
    </row>
    <row r="76" spans="1:33" x14ac:dyDescent="0.3">
      <c r="A76" t="s">
        <v>188</v>
      </c>
      <c r="B76" t="s">
        <v>312</v>
      </c>
      <c r="C76" t="s">
        <v>34</v>
      </c>
      <c r="D76" t="s">
        <v>35</v>
      </c>
      <c r="E76" t="s">
        <v>104</v>
      </c>
      <c r="F76">
        <v>29</v>
      </c>
      <c r="G76" t="s">
        <v>56</v>
      </c>
      <c r="H76" t="s">
        <v>38</v>
      </c>
      <c r="I76" t="s">
        <v>39</v>
      </c>
      <c r="J76" t="s">
        <v>40</v>
      </c>
      <c r="K76" s="1">
        <v>46497</v>
      </c>
      <c r="L76">
        <v>226</v>
      </c>
      <c r="M76" t="s">
        <v>41</v>
      </c>
      <c r="N76" s="1">
        <v>45853</v>
      </c>
      <c r="O76" s="1">
        <v>45856.038922905092</v>
      </c>
      <c r="P76" s="1">
        <v>45863.561034421298</v>
      </c>
      <c r="Q76" s="1">
        <v>45868.505227210648</v>
      </c>
      <c r="R76">
        <v>3</v>
      </c>
      <c r="S76">
        <v>7.5</v>
      </c>
      <c r="T76">
        <v>4.9000000000000004</v>
      </c>
      <c r="U76">
        <v>15.5</v>
      </c>
      <c r="V76">
        <v>13.2</v>
      </c>
      <c r="W76" t="s">
        <v>52</v>
      </c>
      <c r="X76" t="s">
        <v>40</v>
      </c>
      <c r="Y76" t="s">
        <v>40</v>
      </c>
      <c r="Z76" s="1"/>
      <c r="AB76">
        <v>1</v>
      </c>
      <c r="AC76">
        <v>0</v>
      </c>
      <c r="AD76">
        <v>0</v>
      </c>
      <c r="AE76">
        <v>0</v>
      </c>
      <c r="AF76" t="s">
        <v>105</v>
      </c>
      <c r="AG76">
        <v>3.34</v>
      </c>
    </row>
    <row r="77" spans="1:33" x14ac:dyDescent="0.3">
      <c r="A77" t="s">
        <v>189</v>
      </c>
      <c r="B77" t="s">
        <v>313</v>
      </c>
      <c r="C77" t="s">
        <v>47</v>
      </c>
      <c r="D77" t="s">
        <v>48</v>
      </c>
      <c r="E77" t="s">
        <v>190</v>
      </c>
      <c r="F77">
        <v>31</v>
      </c>
      <c r="G77" t="s">
        <v>37</v>
      </c>
      <c r="H77" t="s">
        <v>51</v>
      </c>
      <c r="I77" t="s">
        <v>85</v>
      </c>
      <c r="J77" t="s">
        <v>40</v>
      </c>
      <c r="K77" s="1">
        <v>46716</v>
      </c>
      <c r="L77">
        <v>445</v>
      </c>
      <c r="M77" t="s">
        <v>41</v>
      </c>
      <c r="N77" s="1">
        <v>46093</v>
      </c>
      <c r="O77" s="1">
        <v>46095.205114398152</v>
      </c>
      <c r="P77" s="1">
        <v>46099.919383807872</v>
      </c>
      <c r="Q77" s="1">
        <v>46102.376531898146</v>
      </c>
      <c r="R77">
        <v>2.2000000000000002</v>
      </c>
      <c r="S77">
        <v>4.7</v>
      </c>
      <c r="T77">
        <v>2.5</v>
      </c>
      <c r="U77">
        <v>9.4</v>
      </c>
      <c r="V77">
        <v>5.5</v>
      </c>
      <c r="W77" t="s">
        <v>75</v>
      </c>
      <c r="X77" t="s">
        <v>40</v>
      </c>
      <c r="Y77" t="s">
        <v>40</v>
      </c>
      <c r="Z77" s="1"/>
      <c r="AB77">
        <v>1</v>
      </c>
      <c r="AC77">
        <v>0</v>
      </c>
      <c r="AD77">
        <v>0</v>
      </c>
      <c r="AE77">
        <v>0</v>
      </c>
      <c r="AF77" t="s">
        <v>191</v>
      </c>
      <c r="AG77">
        <v>1.97</v>
      </c>
    </row>
    <row r="78" spans="1:33" x14ac:dyDescent="0.3">
      <c r="A78" t="s">
        <v>192</v>
      </c>
      <c r="B78" t="s">
        <v>314</v>
      </c>
      <c r="C78" t="s">
        <v>78</v>
      </c>
      <c r="D78" t="s">
        <v>35</v>
      </c>
      <c r="E78" t="s">
        <v>49</v>
      </c>
      <c r="F78">
        <v>50</v>
      </c>
      <c r="G78" t="s">
        <v>101</v>
      </c>
      <c r="H78" t="s">
        <v>51</v>
      </c>
      <c r="I78" t="s">
        <v>85</v>
      </c>
      <c r="J78" t="s">
        <v>40</v>
      </c>
      <c r="K78" s="1">
        <v>46468</v>
      </c>
      <c r="L78">
        <v>197</v>
      </c>
      <c r="M78" t="s">
        <v>58</v>
      </c>
      <c r="N78" s="1">
        <v>45779</v>
      </c>
      <c r="O78" s="1">
        <v>45785.184298125001</v>
      </c>
      <c r="P78" s="1">
        <v>45792.638170543978</v>
      </c>
      <c r="Q78" s="1">
        <v>45801.337602777778</v>
      </c>
      <c r="R78">
        <v>6.2</v>
      </c>
      <c r="S78">
        <v>7.5</v>
      </c>
      <c r="T78">
        <v>8.6999999999999993</v>
      </c>
      <c r="U78">
        <v>22.3</v>
      </c>
      <c r="V78">
        <v>15.4</v>
      </c>
      <c r="W78" t="s">
        <v>52</v>
      </c>
      <c r="X78" t="s">
        <v>40</v>
      </c>
      <c r="Y78" t="s">
        <v>40</v>
      </c>
      <c r="Z78" s="1"/>
      <c r="AB78">
        <v>1</v>
      </c>
      <c r="AC78">
        <v>0</v>
      </c>
      <c r="AD78">
        <v>0</v>
      </c>
      <c r="AE78">
        <v>0</v>
      </c>
      <c r="AF78" t="s">
        <v>53</v>
      </c>
      <c r="AG78">
        <v>5.99</v>
      </c>
    </row>
    <row r="79" spans="1:33" x14ac:dyDescent="0.3">
      <c r="A79" t="s">
        <v>193</v>
      </c>
      <c r="B79" t="s">
        <v>315</v>
      </c>
      <c r="C79" t="s">
        <v>99</v>
      </c>
      <c r="D79" t="s">
        <v>48</v>
      </c>
      <c r="E79" t="s">
        <v>36</v>
      </c>
      <c r="F79">
        <v>41</v>
      </c>
      <c r="G79" t="s">
        <v>50</v>
      </c>
      <c r="H79" t="s">
        <v>51</v>
      </c>
      <c r="I79" t="s">
        <v>57</v>
      </c>
      <c r="J79" t="s">
        <v>40</v>
      </c>
      <c r="K79" s="1">
        <v>46771</v>
      </c>
      <c r="L79">
        <v>500</v>
      </c>
      <c r="M79" t="s">
        <v>41</v>
      </c>
      <c r="N79" s="1">
        <v>45912</v>
      </c>
      <c r="O79" s="1">
        <v>45917.366511990738</v>
      </c>
      <c r="P79" s="1">
        <v>45920.725656782408</v>
      </c>
      <c r="Q79" s="1">
        <v>45927.709671481483</v>
      </c>
      <c r="R79">
        <v>5.4</v>
      </c>
      <c r="S79">
        <v>3.4</v>
      </c>
      <c r="T79">
        <v>7</v>
      </c>
      <c r="U79">
        <v>15.7</v>
      </c>
      <c r="V79">
        <v>11.3</v>
      </c>
      <c r="W79" t="s">
        <v>42</v>
      </c>
      <c r="X79" t="s">
        <v>40</v>
      </c>
      <c r="Y79" t="s">
        <v>40</v>
      </c>
      <c r="Z79" s="1"/>
      <c r="AB79">
        <v>1</v>
      </c>
      <c r="AC79">
        <v>0</v>
      </c>
      <c r="AD79">
        <v>0</v>
      </c>
      <c r="AE79">
        <v>0</v>
      </c>
      <c r="AF79" t="s">
        <v>45</v>
      </c>
      <c r="AG79">
        <v>1.38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6FA01-C918-4B5E-B065-9A6586848A13}">
  <sheetPr codeName="Sheet3"/>
  <dimension ref="A1:F13"/>
  <sheetViews>
    <sheetView workbookViewId="0"/>
  </sheetViews>
  <sheetFormatPr defaultRowHeight="14.4" x14ac:dyDescent="0.3"/>
  <cols>
    <col min="1" max="1" width="12.5546875" customWidth="1"/>
    <col min="4" max="4" width="13.21875" customWidth="1"/>
    <col min="5" max="5" width="9.21875" hidden="1" customWidth="1"/>
    <col min="6" max="6" width="14.44140625" hidden="1" customWidth="1"/>
  </cols>
  <sheetData>
    <row r="1" spans="1:6" x14ac:dyDescent="0.3">
      <c r="A1" t="s">
        <v>194</v>
      </c>
      <c r="B1" t="s">
        <v>195</v>
      </c>
      <c r="C1" t="s">
        <v>196</v>
      </c>
      <c r="D1" t="s">
        <v>197</v>
      </c>
      <c r="E1" t="s">
        <v>198</v>
      </c>
      <c r="F1" t="s">
        <v>199</v>
      </c>
    </row>
    <row r="2" spans="1:6" x14ac:dyDescent="0.3">
      <c r="A2" s="1">
        <v>45931.656660011577</v>
      </c>
      <c r="B2" t="s">
        <v>200</v>
      </c>
      <c r="C2" s="4">
        <f>MIN(100,MAX(0,E2+Pivots!$AK$4))</f>
        <v>91.645384615384614</v>
      </c>
      <c r="D2" s="4">
        <f>MAX(0,F2+Pivots!$AK$4)</f>
        <v>3.2453846153846153</v>
      </c>
      <c r="E2">
        <v>91.4</v>
      </c>
      <c r="F2">
        <v>3</v>
      </c>
    </row>
    <row r="3" spans="1:6" x14ac:dyDescent="0.3">
      <c r="A3" s="1">
        <v>45962.656660011577</v>
      </c>
      <c r="B3" t="s">
        <v>201</v>
      </c>
      <c r="C3" s="4">
        <f>MIN(100,MAX(0,E3+Pivots!$AK$4))</f>
        <v>97.645384615384614</v>
      </c>
      <c r="D3" s="4">
        <f>MAX(0,F3+Pivots!$AK$4)</f>
        <v>2.8453846153846154</v>
      </c>
      <c r="E3">
        <v>97.4</v>
      </c>
      <c r="F3">
        <v>2.6</v>
      </c>
    </row>
    <row r="4" spans="1:6" x14ac:dyDescent="0.3">
      <c r="A4" s="1">
        <v>45992.656660011577</v>
      </c>
      <c r="B4" t="s">
        <v>202</v>
      </c>
      <c r="C4" s="4">
        <f>MIN(100,MAX(0,E4+Pivots!$AK$4))</f>
        <v>93.945384615384611</v>
      </c>
      <c r="D4" s="4">
        <f>MAX(0,F4+Pivots!$AK$4)</f>
        <v>4.2453846153846158</v>
      </c>
      <c r="E4">
        <v>93.7</v>
      </c>
      <c r="F4">
        <v>4</v>
      </c>
    </row>
    <row r="5" spans="1:6" x14ac:dyDescent="0.3">
      <c r="A5" s="1">
        <v>46023.656660011577</v>
      </c>
      <c r="B5" t="s">
        <v>203</v>
      </c>
      <c r="C5" s="4">
        <f>MIN(100,MAX(0,E5+Pivots!$AK$4))</f>
        <v>97.545384615384606</v>
      </c>
      <c r="D5" s="4">
        <f>MAX(0,F5+Pivots!$AK$4)</f>
        <v>4.5453846153846156</v>
      </c>
      <c r="E5">
        <v>97.3</v>
      </c>
      <c r="F5">
        <v>4.3</v>
      </c>
    </row>
    <row r="6" spans="1:6" x14ac:dyDescent="0.3">
      <c r="A6" s="1">
        <v>46054.656660011577</v>
      </c>
      <c r="B6" t="s">
        <v>204</v>
      </c>
      <c r="C6" s="4">
        <f>MIN(100,MAX(0,E6+Pivots!$AK$4))</f>
        <v>97.045384615384606</v>
      </c>
      <c r="D6" s="4">
        <f>MAX(0,F6+Pivots!$AK$4)</f>
        <v>4.2453846153846158</v>
      </c>
      <c r="E6">
        <v>96.8</v>
      </c>
      <c r="F6">
        <v>4</v>
      </c>
    </row>
    <row r="7" spans="1:6" x14ac:dyDescent="0.3">
      <c r="A7" s="1">
        <v>46082.656660011577</v>
      </c>
      <c r="B7" t="s">
        <v>205</v>
      </c>
      <c r="C7" s="4">
        <f>MIN(100,MAX(0,E7+Pivots!$AK$4))</f>
        <v>97.345384615384603</v>
      </c>
      <c r="D7" s="4">
        <f>MAX(0,F7+Pivots!$AK$4)</f>
        <v>4.8453846153846154</v>
      </c>
      <c r="E7">
        <v>97.1</v>
      </c>
      <c r="F7">
        <v>4.5999999999999996</v>
      </c>
    </row>
    <row r="8" spans="1:6" x14ac:dyDescent="0.3">
      <c r="A8" s="1">
        <v>46113.656660011577</v>
      </c>
      <c r="B8" t="s">
        <v>206</v>
      </c>
      <c r="C8" s="4">
        <f>MIN(100,MAX(0,E8+Pivots!$AK$4))</f>
        <v>97.045384615384606</v>
      </c>
      <c r="D8" s="4">
        <f>MAX(0,F8+Pivots!$AK$4)</f>
        <v>5.4453846153846159</v>
      </c>
      <c r="E8">
        <v>96.8</v>
      </c>
      <c r="F8">
        <v>5.2</v>
      </c>
    </row>
    <row r="9" spans="1:6" x14ac:dyDescent="0.3">
      <c r="A9" s="1">
        <v>46143.656660011577</v>
      </c>
      <c r="B9" t="s">
        <v>207</v>
      </c>
      <c r="C9" s="4">
        <f>MIN(100,MAX(0,E9+Pivots!$AK$4))</f>
        <v>94.545384615384606</v>
      </c>
      <c r="D9" s="4">
        <f>MAX(0,F9+Pivots!$AK$4)</f>
        <v>2.5453846153846151</v>
      </c>
      <c r="E9">
        <v>94.3</v>
      </c>
      <c r="F9">
        <v>2.2999999999999998</v>
      </c>
    </row>
    <row r="10" spans="1:6" x14ac:dyDescent="0.3">
      <c r="A10" s="1">
        <v>46174.656660011577</v>
      </c>
      <c r="B10" t="s">
        <v>208</v>
      </c>
      <c r="C10" s="4">
        <f>MIN(100,MAX(0,E10+Pivots!$AK$4))</f>
        <v>91.645384615384614</v>
      </c>
      <c r="D10" s="4">
        <f>MAX(0,F10+Pivots!$AK$4)</f>
        <v>6.8453846153846154</v>
      </c>
      <c r="E10">
        <v>91.4</v>
      </c>
      <c r="F10">
        <v>6.6</v>
      </c>
    </row>
    <row r="11" spans="1:6" x14ac:dyDescent="0.3">
      <c r="A11" s="1">
        <v>46204.656660011577</v>
      </c>
      <c r="B11" t="s">
        <v>209</v>
      </c>
      <c r="C11" s="4">
        <f>MIN(100,MAX(0,E11+Pivots!$AK$4))</f>
        <v>81.945384615384611</v>
      </c>
      <c r="D11" s="4">
        <f>MAX(0,F11+Pivots!$AK$4)</f>
        <v>14.345384615384615</v>
      </c>
      <c r="E11">
        <v>81.7</v>
      </c>
      <c r="F11">
        <v>14.1</v>
      </c>
    </row>
    <row r="12" spans="1:6" x14ac:dyDescent="0.3">
      <c r="A12" s="1">
        <v>46235.656660011577</v>
      </c>
      <c r="B12" t="s">
        <v>210</v>
      </c>
      <c r="C12" s="4">
        <f>MIN(100,MAX(0,E12+Pivots!$AK$4))</f>
        <v>95.145384615384614</v>
      </c>
      <c r="D12" s="4">
        <f>MAX(0,F12+Pivots!$AK$4)</f>
        <v>3.7453846153846153</v>
      </c>
      <c r="E12">
        <v>94.9</v>
      </c>
      <c r="F12">
        <v>3.5</v>
      </c>
    </row>
    <row r="13" spans="1:6" x14ac:dyDescent="0.3">
      <c r="A13" s="1">
        <v>46266.656660011577</v>
      </c>
      <c r="B13" t="s">
        <v>211</v>
      </c>
      <c r="C13" s="4">
        <f>MIN(100,MAX(0,E13+Pivots!$AK$4))</f>
        <v>96.445384615384611</v>
      </c>
      <c r="D13" s="4">
        <f>MAX(0,F13+Pivots!$AK$4)</f>
        <v>4.0453846153846156</v>
      </c>
      <c r="E13">
        <v>96.2</v>
      </c>
      <c r="F13">
        <v>3.8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584E5-8DDC-4AF3-A176-F77FDB585567}">
  <sheetPr codeName="Sheet4"/>
  <dimension ref="A1:F14"/>
  <sheetViews>
    <sheetView workbookViewId="0"/>
  </sheetViews>
  <sheetFormatPr defaultRowHeight="14.4" x14ac:dyDescent="0.3"/>
  <cols>
    <col min="1" max="1" width="20.77734375" customWidth="1"/>
    <col min="2" max="2" width="9.109375" customWidth="1"/>
    <col min="3" max="3" width="22.77734375" customWidth="1"/>
    <col min="4" max="4" width="16.33203125" customWidth="1"/>
    <col min="5" max="5" width="16.21875" customWidth="1"/>
    <col min="6" max="6" width="13.6640625" customWidth="1"/>
  </cols>
  <sheetData>
    <row r="1" spans="1:6" x14ac:dyDescent="0.3">
      <c r="A1" t="s">
        <v>212</v>
      </c>
      <c r="B1" t="s">
        <v>2</v>
      </c>
      <c r="C1" t="s">
        <v>213</v>
      </c>
      <c r="D1" t="s">
        <v>214</v>
      </c>
      <c r="E1" t="s">
        <v>215</v>
      </c>
      <c r="F1" t="s">
        <v>216</v>
      </c>
    </row>
    <row r="2" spans="1:6" x14ac:dyDescent="0.3">
      <c r="A2" t="s">
        <v>238</v>
      </c>
      <c r="B2" t="s">
        <v>34</v>
      </c>
      <c r="C2" t="s">
        <v>44</v>
      </c>
      <c r="D2" t="s">
        <v>40</v>
      </c>
      <c r="E2" t="s">
        <v>43</v>
      </c>
      <c r="F2" s="1">
        <v>46268</v>
      </c>
    </row>
    <row r="3" spans="1:6" x14ac:dyDescent="0.3">
      <c r="A3" t="s">
        <v>267</v>
      </c>
      <c r="B3" t="s">
        <v>119</v>
      </c>
      <c r="C3" t="s">
        <v>44</v>
      </c>
      <c r="D3" t="s">
        <v>40</v>
      </c>
      <c r="E3" t="s">
        <v>43</v>
      </c>
      <c r="F3" s="1">
        <v>46265</v>
      </c>
    </row>
    <row r="4" spans="1:6" x14ac:dyDescent="0.3">
      <c r="A4" t="s">
        <v>300</v>
      </c>
      <c r="B4" t="s">
        <v>34</v>
      </c>
      <c r="C4" t="s">
        <v>87</v>
      </c>
      <c r="D4" t="s">
        <v>40</v>
      </c>
      <c r="E4" t="s">
        <v>86</v>
      </c>
      <c r="F4" s="1">
        <v>46265</v>
      </c>
    </row>
    <row r="5" spans="1:6" x14ac:dyDescent="0.3">
      <c r="A5" t="s">
        <v>263</v>
      </c>
      <c r="B5" t="s">
        <v>66</v>
      </c>
      <c r="C5" t="s">
        <v>87</v>
      </c>
      <c r="D5" t="s">
        <v>40</v>
      </c>
      <c r="E5" t="s">
        <v>86</v>
      </c>
      <c r="F5" s="1">
        <v>46262</v>
      </c>
    </row>
    <row r="6" spans="1:6" x14ac:dyDescent="0.3">
      <c r="A6" t="s">
        <v>246</v>
      </c>
      <c r="B6" t="s">
        <v>34</v>
      </c>
      <c r="C6" t="s">
        <v>87</v>
      </c>
      <c r="D6" t="s">
        <v>40</v>
      </c>
      <c r="E6" t="s">
        <v>86</v>
      </c>
      <c r="F6" s="1">
        <v>46262</v>
      </c>
    </row>
    <row r="7" spans="1:6" x14ac:dyDescent="0.3">
      <c r="A7" t="s">
        <v>247</v>
      </c>
      <c r="B7" t="s">
        <v>71</v>
      </c>
      <c r="C7" t="s">
        <v>91</v>
      </c>
      <c r="D7" t="s">
        <v>40</v>
      </c>
      <c r="E7" t="s">
        <v>90</v>
      </c>
      <c r="F7" s="1">
        <v>46262</v>
      </c>
    </row>
    <row r="8" spans="1:6" x14ac:dyDescent="0.3">
      <c r="A8" t="s">
        <v>292</v>
      </c>
      <c r="B8" t="s">
        <v>99</v>
      </c>
      <c r="C8" t="s">
        <v>44</v>
      </c>
      <c r="D8" t="s">
        <v>40</v>
      </c>
      <c r="E8" t="s">
        <v>43</v>
      </c>
      <c r="F8" s="1">
        <v>46257</v>
      </c>
    </row>
    <row r="9" spans="1:6" x14ac:dyDescent="0.3">
      <c r="A9" t="s">
        <v>290</v>
      </c>
      <c r="B9" t="s">
        <v>71</v>
      </c>
      <c r="C9" t="s">
        <v>87</v>
      </c>
      <c r="D9" t="s">
        <v>40</v>
      </c>
      <c r="E9" t="s">
        <v>86</v>
      </c>
      <c r="F9" s="1">
        <v>46256</v>
      </c>
    </row>
    <row r="10" spans="1:6" x14ac:dyDescent="0.3">
      <c r="A10" t="s">
        <v>286</v>
      </c>
      <c r="B10" t="s">
        <v>78</v>
      </c>
      <c r="C10" t="s">
        <v>87</v>
      </c>
      <c r="D10" t="s">
        <v>40</v>
      </c>
      <c r="E10" t="s">
        <v>86</v>
      </c>
      <c r="F10" s="1">
        <v>46252</v>
      </c>
    </row>
    <row r="11" spans="1:6" x14ac:dyDescent="0.3">
      <c r="A11" t="s">
        <v>285</v>
      </c>
      <c r="B11" t="s">
        <v>34</v>
      </c>
      <c r="C11" t="s">
        <v>44</v>
      </c>
      <c r="D11" t="s">
        <v>40</v>
      </c>
      <c r="E11" t="s">
        <v>43</v>
      </c>
      <c r="F11" s="1">
        <v>46251</v>
      </c>
    </row>
    <row r="12" spans="1:6" x14ac:dyDescent="0.3">
      <c r="A12" t="s">
        <v>284</v>
      </c>
      <c r="B12" t="s">
        <v>66</v>
      </c>
      <c r="C12" t="s">
        <v>157</v>
      </c>
      <c r="D12" t="s">
        <v>155</v>
      </c>
      <c r="E12" t="s">
        <v>156</v>
      </c>
      <c r="F12" s="1">
        <v>46249</v>
      </c>
    </row>
    <row r="13" spans="1:6" x14ac:dyDescent="0.3">
      <c r="A13" t="s">
        <v>309</v>
      </c>
      <c r="B13" t="s">
        <v>66</v>
      </c>
      <c r="C13" t="s">
        <v>183</v>
      </c>
      <c r="D13" t="s">
        <v>40</v>
      </c>
      <c r="E13" t="s">
        <v>146</v>
      </c>
      <c r="F13" s="1">
        <v>46246</v>
      </c>
    </row>
    <row r="14" spans="1:6" x14ac:dyDescent="0.3">
      <c r="A14" t="s">
        <v>245</v>
      </c>
      <c r="B14" t="s">
        <v>78</v>
      </c>
      <c r="C14" t="s">
        <v>44</v>
      </c>
      <c r="D14" t="s">
        <v>40</v>
      </c>
      <c r="E14" t="s">
        <v>43</v>
      </c>
      <c r="F14" s="1">
        <v>46246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4D56F-DDE2-4C78-87F3-D64E4F429281}">
  <sheetPr codeName="Sheet5"/>
  <dimension ref="A1:BE26"/>
  <sheetViews>
    <sheetView workbookViewId="0">
      <selection activeCell="AP29" sqref="AP29"/>
    </sheetView>
  </sheetViews>
  <sheetFormatPr defaultRowHeight="14.4" x14ac:dyDescent="0.3"/>
  <cols>
    <col min="1" max="1" width="17.5546875" bestFit="1" customWidth="1"/>
    <col min="2" max="2" width="21" bestFit="1" customWidth="1"/>
    <col min="3" max="3" width="24.88671875" bestFit="1" customWidth="1"/>
    <col min="4" max="4" width="21.109375" bestFit="1" customWidth="1"/>
    <col min="8" max="8" width="12.5546875" bestFit="1" customWidth="1"/>
    <col min="9" max="9" width="13.88671875" bestFit="1" customWidth="1"/>
    <col min="13" max="13" width="20.33203125" bestFit="1" customWidth="1"/>
    <col min="14" max="14" width="22.109375" bestFit="1" customWidth="1"/>
    <col min="18" max="18" width="12.5546875" bestFit="1" customWidth="1"/>
    <col min="19" max="19" width="13.88671875" bestFit="1" customWidth="1"/>
    <col min="23" max="23" width="12.5546875" bestFit="1" customWidth="1"/>
    <col min="24" max="24" width="13.88671875" bestFit="1" customWidth="1"/>
    <col min="28" max="28" width="12.5546875" bestFit="1" customWidth="1"/>
    <col min="29" max="29" width="13.88671875" bestFit="1" customWidth="1"/>
    <col min="33" max="35" width="20.44140625" bestFit="1" customWidth="1"/>
    <col min="37" max="37" width="23.5546875" bestFit="1" customWidth="1"/>
    <col min="40" max="40" width="12.21875" customWidth="1"/>
    <col min="44" max="44" width="9.77734375" bestFit="1" customWidth="1"/>
    <col min="45" max="45" width="12" bestFit="1" customWidth="1"/>
    <col min="46" max="46" width="11" bestFit="1" customWidth="1"/>
    <col min="50" max="50" width="14" bestFit="1" customWidth="1"/>
    <col min="51" max="51" width="6.109375" bestFit="1" customWidth="1"/>
    <col min="56" max="56" width="20.5546875" bestFit="1" customWidth="1"/>
    <col min="57" max="57" width="6.109375" bestFit="1" customWidth="1"/>
  </cols>
  <sheetData>
    <row r="1" spans="1:57" x14ac:dyDescent="0.3">
      <c r="AN1" t="s">
        <v>229</v>
      </c>
      <c r="AX1" s="2" t="s">
        <v>28</v>
      </c>
      <c r="AY1" s="3">
        <v>1</v>
      </c>
    </row>
    <row r="2" spans="1:57" x14ac:dyDescent="0.3">
      <c r="AN2" t="s">
        <v>31</v>
      </c>
      <c r="AO2" t="s">
        <v>230</v>
      </c>
    </row>
    <row r="3" spans="1:57" x14ac:dyDescent="0.3">
      <c r="A3" s="2" t="s">
        <v>218</v>
      </c>
      <c r="H3" s="2" t="s">
        <v>222</v>
      </c>
      <c r="I3" t="s">
        <v>223</v>
      </c>
      <c r="M3" s="2" t="s">
        <v>222</v>
      </c>
      <c r="N3" t="s">
        <v>224</v>
      </c>
      <c r="R3" s="2" t="s">
        <v>222</v>
      </c>
      <c r="S3" t="s">
        <v>223</v>
      </c>
      <c r="W3" s="2" t="s">
        <v>222</v>
      </c>
      <c r="X3" t="s">
        <v>223</v>
      </c>
      <c r="AB3" s="2" t="s">
        <v>222</v>
      </c>
      <c r="AC3" t="s">
        <v>223</v>
      </c>
      <c r="AG3" s="2" t="s">
        <v>218</v>
      </c>
      <c r="AK3" t="s">
        <v>228</v>
      </c>
      <c r="AN3" t="s">
        <v>53</v>
      </c>
      <c r="AO3">
        <f>IFERROR(GETPIVOTDATA("Count of Name",Pivots!$H$3,"State","CA"),0)</f>
        <v>8</v>
      </c>
      <c r="AR3" s="2" t="s">
        <v>218</v>
      </c>
      <c r="AX3" s="2" t="s">
        <v>222</v>
      </c>
      <c r="AY3" t="s">
        <v>230</v>
      </c>
      <c r="BD3" s="2" t="s">
        <v>222</v>
      </c>
      <c r="BE3" t="s">
        <v>230</v>
      </c>
    </row>
    <row r="4" spans="1:57" x14ac:dyDescent="0.3">
      <c r="A4" t="s">
        <v>217</v>
      </c>
      <c r="B4" t="s">
        <v>219</v>
      </c>
      <c r="C4" t="s">
        <v>220</v>
      </c>
      <c r="D4" t="s">
        <v>221</v>
      </c>
      <c r="H4" s="3" t="s">
        <v>104</v>
      </c>
      <c r="I4">
        <v>12</v>
      </c>
      <c r="M4" s="3" t="s">
        <v>34</v>
      </c>
      <c r="N4">
        <v>6</v>
      </c>
      <c r="R4" s="3" t="s">
        <v>85</v>
      </c>
      <c r="S4">
        <v>12</v>
      </c>
      <c r="W4" s="3" t="s">
        <v>56</v>
      </c>
      <c r="X4">
        <v>15</v>
      </c>
      <c r="AB4" s="3" t="s">
        <v>63</v>
      </c>
      <c r="AC4">
        <v>5</v>
      </c>
      <c r="AG4" t="s">
        <v>225</v>
      </c>
      <c r="AH4" t="s">
        <v>226</v>
      </c>
      <c r="AI4" t="s">
        <v>227</v>
      </c>
      <c r="AK4">
        <v>0.24538461538461534</v>
      </c>
      <c r="AN4" t="s">
        <v>105</v>
      </c>
      <c r="AO4">
        <f>IFERROR(GETPIVOTDATA("Count of Name",Pivots!$H$3,"State","TX"),0)</f>
        <v>12</v>
      </c>
      <c r="AR4" s="3" t="s">
        <v>316</v>
      </c>
      <c r="AS4">
        <v>5.8423076923076911</v>
      </c>
      <c r="AX4" s="3" t="s">
        <v>41</v>
      </c>
      <c r="AY4">
        <v>4</v>
      </c>
      <c r="BD4" s="3" t="s">
        <v>87</v>
      </c>
      <c r="BE4">
        <v>5</v>
      </c>
    </row>
    <row r="5" spans="1:57" x14ac:dyDescent="0.3">
      <c r="A5">
        <v>77</v>
      </c>
      <c r="B5">
        <v>14</v>
      </c>
      <c r="C5">
        <v>17.925641025641028</v>
      </c>
      <c r="D5">
        <v>13</v>
      </c>
      <c r="H5" s="3" t="s">
        <v>36</v>
      </c>
      <c r="I5">
        <v>9</v>
      </c>
      <c r="M5" s="3" t="s">
        <v>71</v>
      </c>
      <c r="N5">
        <v>6</v>
      </c>
      <c r="R5" s="3" t="s">
        <v>39</v>
      </c>
      <c r="S5">
        <v>24</v>
      </c>
      <c r="W5" s="3" t="s">
        <v>37</v>
      </c>
      <c r="X5">
        <v>23</v>
      </c>
      <c r="AB5" s="3" t="s">
        <v>75</v>
      </c>
      <c r="AC5">
        <v>9</v>
      </c>
      <c r="AG5">
        <v>5.8423076923076911</v>
      </c>
      <c r="AH5">
        <v>7.1987179487179471</v>
      </c>
      <c r="AI5">
        <v>4.8897435897435892</v>
      </c>
      <c r="AN5" t="s">
        <v>45</v>
      </c>
      <c r="AO5">
        <f>IFERROR(GETPIVOTDATA("Count of Name",Pivots!$H$3,"State","NY"),0)</f>
        <v>9</v>
      </c>
      <c r="AR5" s="3" t="s">
        <v>317</v>
      </c>
      <c r="AS5">
        <v>7.1987179487179471</v>
      </c>
      <c r="AX5" s="3" t="s">
        <v>58</v>
      </c>
      <c r="AY5">
        <v>10</v>
      </c>
      <c r="BD5" s="3" t="s">
        <v>157</v>
      </c>
      <c r="BE5">
        <v>1</v>
      </c>
    </row>
    <row r="6" spans="1:57" x14ac:dyDescent="0.3">
      <c r="H6" s="3" t="s">
        <v>49</v>
      </c>
      <c r="I6">
        <v>8</v>
      </c>
      <c r="M6" s="3" t="s">
        <v>47</v>
      </c>
      <c r="N6">
        <v>5</v>
      </c>
      <c r="R6" s="3" t="s">
        <v>57</v>
      </c>
      <c r="S6">
        <v>23</v>
      </c>
      <c r="W6" s="3" t="s">
        <v>50</v>
      </c>
      <c r="X6">
        <v>14</v>
      </c>
      <c r="AB6" s="3" t="s">
        <v>42</v>
      </c>
      <c r="AC6">
        <v>37</v>
      </c>
      <c r="AN6" t="s">
        <v>116</v>
      </c>
      <c r="AO6">
        <f>IFERROR(GETPIVOTDATA("Count of Name",Pivots!$H$3,"State","FL"),0)</f>
        <v>5</v>
      </c>
      <c r="AR6" s="3" t="s">
        <v>318</v>
      </c>
      <c r="AS6">
        <v>4.8897435897435892</v>
      </c>
      <c r="AX6" s="3" t="s">
        <v>319</v>
      </c>
      <c r="AY6">
        <v>14</v>
      </c>
      <c r="BD6" s="3" t="s">
        <v>91</v>
      </c>
      <c r="BE6">
        <v>1</v>
      </c>
    </row>
    <row r="7" spans="1:57" x14ac:dyDescent="0.3">
      <c r="H7" s="3" t="s">
        <v>115</v>
      </c>
      <c r="I7">
        <v>5</v>
      </c>
      <c r="M7" s="3" t="s">
        <v>99</v>
      </c>
      <c r="N7">
        <v>5</v>
      </c>
      <c r="R7" s="3" t="s">
        <v>73</v>
      </c>
      <c r="S7">
        <v>13</v>
      </c>
      <c r="W7" s="3" t="s">
        <v>101</v>
      </c>
      <c r="X7">
        <v>18</v>
      </c>
      <c r="AB7" s="3" t="s">
        <v>52</v>
      </c>
      <c r="AC7">
        <v>27</v>
      </c>
      <c r="AN7" t="s">
        <v>64</v>
      </c>
      <c r="AO7">
        <f>IFERROR(GETPIVOTDATA("Count of Name",Pivots!$H$3,"State","IL"),0)</f>
        <v>4</v>
      </c>
      <c r="BD7" s="3" t="s">
        <v>183</v>
      </c>
      <c r="BE7">
        <v>1</v>
      </c>
    </row>
    <row r="8" spans="1:57" x14ac:dyDescent="0.3">
      <c r="H8" s="3" t="s">
        <v>82</v>
      </c>
      <c r="I8">
        <v>5</v>
      </c>
      <c r="M8" s="3" t="s">
        <v>61</v>
      </c>
      <c r="N8">
        <v>4</v>
      </c>
      <c r="R8" s="3" t="s">
        <v>109</v>
      </c>
      <c r="S8">
        <v>6</v>
      </c>
      <c r="W8" s="3" t="s">
        <v>68</v>
      </c>
      <c r="X8">
        <v>8</v>
      </c>
      <c r="AN8" t="s">
        <v>76</v>
      </c>
      <c r="AO8">
        <f>IFERROR(GETPIVOTDATA("Count of Name",Pivots!$H$3,"State","PA"),0)</f>
        <v>3</v>
      </c>
      <c r="BD8" s="3" t="s">
        <v>44</v>
      </c>
      <c r="BE8">
        <v>5</v>
      </c>
    </row>
    <row r="9" spans="1:57" x14ac:dyDescent="0.3">
      <c r="H9" s="3" t="s">
        <v>133</v>
      </c>
      <c r="I9">
        <v>4</v>
      </c>
      <c r="M9" s="3" t="s">
        <v>78</v>
      </c>
      <c r="N9">
        <v>3</v>
      </c>
      <c r="AN9" t="s">
        <v>231</v>
      </c>
      <c r="AO9">
        <f>IFERROR(GETPIVOTDATA("Count of Name",Pivots!$H$3,"State","OH"),0)</f>
        <v>0</v>
      </c>
      <c r="BD9" s="3" t="s">
        <v>319</v>
      </c>
      <c r="BE9">
        <v>13</v>
      </c>
    </row>
    <row r="10" spans="1:57" x14ac:dyDescent="0.3">
      <c r="H10" s="3" t="s">
        <v>89</v>
      </c>
      <c r="I10">
        <v>4</v>
      </c>
      <c r="M10" s="3" t="s">
        <v>66</v>
      </c>
      <c r="N10">
        <v>3</v>
      </c>
      <c r="AN10" t="s">
        <v>186</v>
      </c>
      <c r="AO10">
        <f>IFERROR(GETPIVOTDATA("Count of Name",Pivots!$H$3,"State","GA"),0)</f>
        <v>1</v>
      </c>
    </row>
    <row r="11" spans="1:57" x14ac:dyDescent="0.3">
      <c r="H11" s="3" t="s">
        <v>62</v>
      </c>
      <c r="I11">
        <v>4</v>
      </c>
      <c r="M11" s="3" t="s">
        <v>119</v>
      </c>
      <c r="N11">
        <v>1</v>
      </c>
      <c r="AN11" t="s">
        <v>134</v>
      </c>
      <c r="AO11">
        <f>IFERROR(GETPIVOTDATA("Count of Name",Pivots!$H$3,"State","NC"),0)</f>
        <v>4</v>
      </c>
    </row>
    <row r="12" spans="1:57" x14ac:dyDescent="0.3">
      <c r="H12" s="3" t="s">
        <v>120</v>
      </c>
      <c r="I12">
        <v>4</v>
      </c>
      <c r="AN12" t="s">
        <v>92</v>
      </c>
      <c r="AO12">
        <f>IFERROR(GETPIVOTDATA("Count of Name",Pivots!$H$3,"State","NJ"),0)</f>
        <v>4</v>
      </c>
    </row>
    <row r="13" spans="1:57" x14ac:dyDescent="0.3">
      <c r="H13" s="3" t="s">
        <v>72</v>
      </c>
      <c r="I13">
        <v>3</v>
      </c>
      <c r="AN13" t="s">
        <v>191</v>
      </c>
      <c r="AO13">
        <f>IFERROR(GETPIVOTDATA("Count of Name",Pivots!$H$3,"State","VA"),0)</f>
        <v>1</v>
      </c>
    </row>
    <row r="14" spans="1:57" x14ac:dyDescent="0.3">
      <c r="H14" s="3" t="s">
        <v>67</v>
      </c>
      <c r="I14">
        <v>3</v>
      </c>
      <c r="AN14" t="s">
        <v>121</v>
      </c>
      <c r="AO14">
        <f>IFERROR(GETPIVOTDATA("Count of Name",Pivots!$H$3,"State","WA"),0)</f>
        <v>4</v>
      </c>
    </row>
    <row r="15" spans="1:57" x14ac:dyDescent="0.3">
      <c r="H15" s="3" t="s">
        <v>111</v>
      </c>
      <c r="I15">
        <v>3</v>
      </c>
      <c r="AN15" t="s">
        <v>80</v>
      </c>
      <c r="AO15">
        <f>IFERROR(GETPIVOTDATA("Count of Name",Pivots!$H$3,"State","MA"),0)</f>
        <v>2</v>
      </c>
    </row>
    <row r="16" spans="1:57" x14ac:dyDescent="0.3">
      <c r="H16" s="3" t="s">
        <v>142</v>
      </c>
      <c r="I16">
        <v>3</v>
      </c>
      <c r="AN16" t="s">
        <v>59</v>
      </c>
      <c r="AO16">
        <f>IFERROR(GETPIVOTDATA("Count of Name",Pivots!$H$3,"State","AZ"),0)</f>
        <v>1</v>
      </c>
    </row>
    <row r="17" spans="8:41" x14ac:dyDescent="0.3">
      <c r="H17" s="3" t="s">
        <v>96</v>
      </c>
      <c r="I17">
        <v>2</v>
      </c>
      <c r="AN17" t="s">
        <v>232</v>
      </c>
      <c r="AO17">
        <f>IFERROR(GETPIVOTDATA("Count of Name",Pivots!$H$3,"State","CO"),0)</f>
        <v>0</v>
      </c>
    </row>
    <row r="18" spans="8:41" x14ac:dyDescent="0.3">
      <c r="H18" s="3" t="s">
        <v>79</v>
      </c>
      <c r="I18">
        <v>2</v>
      </c>
      <c r="AN18" t="s">
        <v>143</v>
      </c>
      <c r="AO18">
        <f>IFERROR(GETPIVOTDATA("Count of Name",Pivots!$H$3,"State","MI"),0)</f>
        <v>3</v>
      </c>
    </row>
    <row r="19" spans="8:41" x14ac:dyDescent="0.3">
      <c r="H19" s="3" t="s">
        <v>145</v>
      </c>
      <c r="I19">
        <v>2</v>
      </c>
      <c r="AN19" t="s">
        <v>147</v>
      </c>
      <c r="AO19">
        <f>IFERROR(GETPIVOTDATA("Count of Name",Pivots!$H$3,"State","MN"),0)</f>
        <v>2</v>
      </c>
    </row>
    <row r="20" spans="8:41" x14ac:dyDescent="0.3">
      <c r="H20" s="3" t="s">
        <v>100</v>
      </c>
      <c r="I20">
        <v>1</v>
      </c>
      <c r="AN20" t="s">
        <v>69</v>
      </c>
      <c r="AO20">
        <f>IFERROR(GETPIVOTDATA("Count of Name",Pivots!$H$3,"State","TN"),0)</f>
        <v>3</v>
      </c>
    </row>
    <row r="21" spans="8:41" x14ac:dyDescent="0.3">
      <c r="H21" s="3" t="s">
        <v>55</v>
      </c>
      <c r="I21">
        <v>1</v>
      </c>
      <c r="AN21" t="s">
        <v>97</v>
      </c>
      <c r="AO21">
        <f>IFERROR(GETPIVOTDATA("Count of Name",Pivots!$H$3,"State","MO"),0)</f>
        <v>2</v>
      </c>
    </row>
    <row r="22" spans="8:41" x14ac:dyDescent="0.3">
      <c r="H22" s="3" t="s">
        <v>150</v>
      </c>
      <c r="I22">
        <v>1</v>
      </c>
      <c r="AN22" t="s">
        <v>112</v>
      </c>
      <c r="AO22">
        <f>IFERROR(GETPIVOTDATA("Count of Name",Pivots!$H$3,"State","MD"),0)</f>
        <v>3</v>
      </c>
    </row>
    <row r="23" spans="8:41" x14ac:dyDescent="0.3">
      <c r="H23" s="3" t="s">
        <v>185</v>
      </c>
      <c r="I23">
        <v>1</v>
      </c>
      <c r="AN23" t="s">
        <v>83</v>
      </c>
      <c r="AO23">
        <f>IFERROR(GETPIVOTDATA("Count of Name",Pivots!$H$3,"State","IN"),0)</f>
        <v>5</v>
      </c>
    </row>
    <row r="24" spans="8:41" x14ac:dyDescent="0.3">
      <c r="H24" s="3" t="s">
        <v>190</v>
      </c>
      <c r="I24">
        <v>1</v>
      </c>
      <c r="AN24" t="s">
        <v>151</v>
      </c>
      <c r="AO24">
        <f>IFERROR(GETPIVOTDATA("Count of Name",Pivots!$H$3,"State","WI"),0)</f>
        <v>1</v>
      </c>
    </row>
    <row r="25" spans="8:41" x14ac:dyDescent="0.3">
      <c r="AN25" t="s">
        <v>102</v>
      </c>
      <c r="AO25">
        <f>IFERROR(GETPIVOTDATA("Count of Name",Pivots!$H$3,"State","CT"),0)</f>
        <v>1</v>
      </c>
    </row>
    <row r="26" spans="8:41" x14ac:dyDescent="0.3">
      <c r="AN26" t="s">
        <v>233</v>
      </c>
      <c r="AO26">
        <f>IFERROR(GETPIVOTDATA("Count of Name",Pivots!$H$3,"State","OR"),0)</f>
        <v>0</v>
      </c>
    </row>
  </sheetData>
  <pageMargins left="0.7" right="0.7" top="0.75" bottom="0.75" header="0.3" footer="0.3"/>
  <tableParts count="1">
    <tablePart r:id="rId1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Bottlenecks</vt:lpstr>
      <vt:lpstr>Data</vt:lpstr>
      <vt:lpstr>SlaTrend</vt:lpstr>
      <vt:lpstr>Discrepancies</vt:lpstr>
      <vt:lpstr>Pivots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2026-09-06T13:45:36Z</dcterms:created>
  <dcterms:modified xsi:type="dcterms:W3CDTF">2026-09-08T18:18:41Z</dcterms:modified>
</cp:coreProperties>
</file>